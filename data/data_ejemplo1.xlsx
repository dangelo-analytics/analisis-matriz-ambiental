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CURSO_POWER_BI\"/>
    </mc:Choice>
  </mc:AlternateContent>
  <xr:revisionPtr revIDLastSave="0" documentId="13_ncr:1_{6996264F-2C4C-4C16-826C-3F7AE8C8C6EA}" xr6:coauthVersionLast="47" xr6:coauthVersionMax="47" xr10:uidLastSave="{00000000-0000-0000-0000-000000000000}"/>
  <bookViews>
    <workbookView xWindow="-120" yWindow="-120" windowWidth="20730" windowHeight="11160" tabRatio="866" xr2:uid="{B9B2EB5C-B092-4848-92DE-4A687D176451}"/>
  </bookViews>
  <sheets>
    <sheet name="Compromisos RCAs" sheetId="1" r:id="rId1"/>
    <sheet name="GEN" sheetId="13" r:id="rId2"/>
    <sheet name="MEDHU" sheetId="12" r:id="rId3"/>
    <sheet name="ARQ" sheetId="11" r:id="rId4"/>
    <sheet name="SUSPEL" sheetId="10" r:id="rId5"/>
    <sheet name="Medio Marino" sheetId="8" r:id="rId6"/>
    <sheet name="RESLIQ" sheetId="6" r:id="rId7"/>
    <sheet name="RYB" sheetId="7" r:id="rId8"/>
    <sheet name="RESOL" sheetId="9" r:id="rId9"/>
    <sheet name="Aguas " sheetId="5" r:id="rId10"/>
    <sheet name="Aire" sheetId="4" r:id="rId11"/>
    <sheet name="Fauna" sheetId="3" r:id="rId12"/>
    <sheet name="Obras" sheetId="2" r:id="rId13"/>
  </sheets>
  <definedNames>
    <definedName name="_xlnm._FilterDatabase" localSheetId="0" hidden="1">'Compromisos RCAs'!$B$8:$L$113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15" i="1" l="1"/>
  <c r="D6" i="2"/>
  <c r="D5" i="8"/>
  <c r="D6" i="8"/>
  <c r="B7" i="12"/>
  <c r="C11" i="13"/>
  <c r="D11" i="13"/>
  <c r="C12" i="13"/>
  <c r="D12" i="13"/>
  <c r="C9" i="13"/>
  <c r="C10" i="13"/>
  <c r="E10" i="13" s="1"/>
  <c r="C5" i="10"/>
  <c r="D5" i="10"/>
  <c r="C6" i="10"/>
  <c r="D6" i="10"/>
  <c r="C7" i="10"/>
  <c r="D7" i="10"/>
  <c r="C8" i="10"/>
  <c r="D8" i="10"/>
  <c r="C9" i="10"/>
  <c r="D9" i="10"/>
  <c r="C4" i="13"/>
  <c r="E4" i="13" s="1"/>
  <c r="C5" i="13"/>
  <c r="C6" i="13"/>
  <c r="C7" i="13"/>
  <c r="E7" i="13" s="1"/>
  <c r="C8" i="13"/>
  <c r="E8" i="13" s="1"/>
  <c r="C10" i="2"/>
  <c r="C13" i="8"/>
  <c r="D13" i="8"/>
  <c r="C14" i="8"/>
  <c r="D14" i="8"/>
  <c r="C15" i="8"/>
  <c r="D15" i="8"/>
  <c r="C16" i="8"/>
  <c r="D16" i="8"/>
  <c r="C17" i="8"/>
  <c r="D17" i="8"/>
  <c r="C3" i="13"/>
  <c r="D3" i="13"/>
  <c r="A2" i="13"/>
  <c r="C20" i="9"/>
  <c r="E20" i="9" s="1"/>
  <c r="C19" i="9"/>
  <c r="E19" i="9" s="1"/>
  <c r="C13" i="7"/>
  <c r="D13" i="7"/>
  <c r="C18" i="9"/>
  <c r="E18" i="9" s="1"/>
  <c r="C6" i="6"/>
  <c r="E6" i="6" s="1"/>
  <c r="C9" i="2"/>
  <c r="C7" i="3"/>
  <c r="C8" i="3"/>
  <c r="E8" i="3" s="1"/>
  <c r="C9" i="3"/>
  <c r="C10" i="3"/>
  <c r="E10" i="3"/>
  <c r="C7" i="12"/>
  <c r="C8" i="12"/>
  <c r="D8" i="12"/>
  <c r="C9" i="12"/>
  <c r="C10" i="12"/>
  <c r="E10" i="12" s="1"/>
  <c r="C11" i="7"/>
  <c r="D11" i="7"/>
  <c r="C12" i="7"/>
  <c r="D12" i="7"/>
  <c r="C3" i="12"/>
  <c r="C4" i="12"/>
  <c r="C5" i="12"/>
  <c r="E5" i="12" s="1"/>
  <c r="C6" i="12"/>
  <c r="E6" i="12" s="1"/>
  <c r="A2" i="12"/>
  <c r="C7" i="2"/>
  <c r="D7" i="2"/>
  <c r="C8" i="2"/>
  <c r="C5" i="8"/>
  <c r="E5" i="8" s="1"/>
  <c r="C6" i="8"/>
  <c r="E6" i="8" s="1"/>
  <c r="C7" i="8"/>
  <c r="D7" i="8"/>
  <c r="C8" i="8"/>
  <c r="D8" i="8"/>
  <c r="C9" i="8"/>
  <c r="D9" i="8"/>
  <c r="C10" i="8"/>
  <c r="D10" i="8"/>
  <c r="C11" i="8"/>
  <c r="D11" i="8"/>
  <c r="C12" i="8"/>
  <c r="D12" i="8"/>
  <c r="C4" i="11"/>
  <c r="D4" i="11"/>
  <c r="C5" i="11"/>
  <c r="D5" i="11"/>
  <c r="C6" i="11"/>
  <c r="D6" i="11"/>
  <c r="C7" i="11"/>
  <c r="D7" i="11"/>
  <c r="C8" i="11"/>
  <c r="D8" i="11"/>
  <c r="A3" i="11"/>
  <c r="B4" i="10"/>
  <c r="C4" i="10"/>
  <c r="D4" i="10"/>
  <c r="A3" i="10"/>
  <c r="C4" i="5"/>
  <c r="D4" i="5"/>
  <c r="C5" i="5"/>
  <c r="E5" i="5" s="1"/>
  <c r="C6" i="5"/>
  <c r="E6" i="5" s="1"/>
  <c r="C8" i="9"/>
  <c r="D8" i="9"/>
  <c r="C9" i="9"/>
  <c r="D9" i="9"/>
  <c r="E9" i="9" s="1"/>
  <c r="C10" i="9"/>
  <c r="D10" i="9"/>
  <c r="C11" i="9"/>
  <c r="D11" i="9"/>
  <c r="C12" i="9"/>
  <c r="D12" i="9"/>
  <c r="C13" i="9"/>
  <c r="D13" i="9"/>
  <c r="C14" i="9"/>
  <c r="D14" i="9"/>
  <c r="C15" i="9"/>
  <c r="D15" i="9"/>
  <c r="C16" i="9"/>
  <c r="D16" i="9"/>
  <c r="C17" i="9"/>
  <c r="D17" i="9"/>
  <c r="C4" i="6"/>
  <c r="D4" i="6"/>
  <c r="C5" i="6"/>
  <c r="E5" i="6" s="1"/>
  <c r="C10" i="7"/>
  <c r="D10" i="7"/>
  <c r="C9" i="4"/>
  <c r="D9" i="4"/>
  <c r="C10" i="4"/>
  <c r="D10" i="4"/>
  <c r="C11" i="4"/>
  <c r="E11" i="4" s="1"/>
  <c r="C3" i="9"/>
  <c r="D3" i="9"/>
  <c r="C4" i="9"/>
  <c r="D4" i="9"/>
  <c r="C5" i="9"/>
  <c r="D5" i="9"/>
  <c r="C6" i="9"/>
  <c r="D6" i="9"/>
  <c r="C7" i="9"/>
  <c r="D7" i="9"/>
  <c r="A2" i="9"/>
  <c r="C6" i="7"/>
  <c r="D6" i="7"/>
  <c r="C7" i="7"/>
  <c r="D7" i="7"/>
  <c r="C8" i="7"/>
  <c r="D8" i="7"/>
  <c r="C9" i="7"/>
  <c r="D9" i="7"/>
  <c r="C6" i="3"/>
  <c r="D6" i="3"/>
  <c r="C3" i="8"/>
  <c r="D3" i="8"/>
  <c r="C4" i="8"/>
  <c r="D4" i="8"/>
  <c r="A2" i="8"/>
  <c r="D3" i="7"/>
  <c r="D4" i="7"/>
  <c r="D5" i="7"/>
  <c r="C3" i="7"/>
  <c r="C4" i="7"/>
  <c r="C5" i="7"/>
  <c r="A2" i="7"/>
  <c r="C3" i="6"/>
  <c r="D3" i="6"/>
  <c r="A2" i="6"/>
  <c r="C6" i="2"/>
  <c r="C6" i="4"/>
  <c r="D6" i="4"/>
  <c r="C7" i="4"/>
  <c r="D7" i="4"/>
  <c r="C8" i="4"/>
  <c r="D8" i="4"/>
  <c r="C5" i="4"/>
  <c r="D5" i="4"/>
  <c r="C4" i="4"/>
  <c r="D4" i="4"/>
  <c r="C3" i="5"/>
  <c r="D3" i="5"/>
  <c r="A2" i="5"/>
  <c r="C3" i="4"/>
  <c r="D3" i="4"/>
  <c r="A2" i="4"/>
  <c r="C4" i="3"/>
  <c r="D4" i="3"/>
  <c r="C5" i="3"/>
  <c r="D5" i="3"/>
  <c r="A3" i="3"/>
  <c r="B4" i="3"/>
  <c r="B5" i="3"/>
  <c r="C2" i="2"/>
  <c r="D2" i="2"/>
  <c r="A2" i="2"/>
  <c r="C3" i="2"/>
  <c r="C4" i="2"/>
  <c r="C5" i="2"/>
  <c r="I114" i="1"/>
  <c r="H114" i="1"/>
  <c r="E13" i="7" l="1"/>
  <c r="E12" i="8"/>
  <c r="E16" i="9"/>
  <c r="E10" i="9"/>
  <c r="E7" i="8"/>
  <c r="E17" i="8"/>
  <c r="E5" i="4"/>
  <c r="E9" i="4"/>
  <c r="E11" i="8"/>
  <c r="E15" i="8"/>
  <c r="E9" i="7"/>
  <c r="E10" i="7"/>
  <c r="E8" i="9"/>
  <c r="E4" i="4"/>
  <c r="E13" i="8"/>
  <c r="E5" i="7"/>
  <c r="E4" i="8"/>
  <c r="E17" i="9"/>
  <c r="E11" i="9"/>
  <c r="E16" i="8"/>
  <c r="E7" i="4"/>
  <c r="E8" i="7"/>
  <c r="E14" i="8"/>
  <c r="E6" i="4"/>
  <c r="E3" i="7"/>
  <c r="E7" i="7"/>
  <c r="E8" i="4"/>
  <c r="E12" i="7"/>
  <c r="E3" i="6"/>
  <c r="E10" i="4"/>
  <c r="E3" i="4"/>
  <c r="E4" i="7"/>
  <c r="E4" i="9"/>
  <c r="E4" i="6"/>
  <c r="E12" i="9"/>
  <c r="E4" i="5"/>
  <c r="E9" i="8"/>
  <c r="E12" i="13"/>
  <c r="E8" i="8"/>
  <c r="E3" i="5"/>
  <c r="E6" i="7"/>
  <c r="E3" i="9"/>
  <c r="E3" i="8"/>
  <c r="E7" i="9"/>
  <c r="E15" i="9"/>
  <c r="E11" i="7"/>
  <c r="E6" i="9"/>
  <c r="E14" i="9"/>
  <c r="E5" i="9"/>
  <c r="E13" i="9"/>
  <c r="E10" i="8"/>
  <c r="E8" i="12"/>
  <c r="E11" i="13"/>
  <c r="E8" i="2"/>
  <c r="E3" i="12"/>
  <c r="E4" i="12"/>
  <c r="E6" i="13"/>
  <c r="E4" i="3"/>
  <c r="E9" i="12"/>
  <c r="E7" i="12"/>
  <c r="E9" i="3"/>
  <c r="E7" i="3"/>
  <c r="E6" i="3"/>
  <c r="E5" i="3"/>
  <c r="E6" i="2"/>
  <c r="E9" i="2"/>
  <c r="E7" i="2"/>
  <c r="E3" i="13"/>
  <c r="E10" i="2"/>
  <c r="E5" i="13"/>
  <c r="E9" i="13"/>
  <c r="E4" i="2"/>
  <c r="E5" i="2"/>
  <c r="E3" i="2"/>
</calcChain>
</file>

<file path=xl/sharedStrings.xml><?xml version="1.0" encoding="utf-8"?>
<sst xmlns="http://schemas.openxmlformats.org/spreadsheetml/2006/main" count="1044" uniqueCount="486">
  <si>
    <t>Obras</t>
  </si>
  <si>
    <t>Contar con plan detallado de tronaduras en base a investigación geotécnica</t>
  </si>
  <si>
    <t>Plan detallado de tronaduras</t>
  </si>
  <si>
    <t>Residuos líquidos</t>
  </si>
  <si>
    <t>Registro de inspección sistema de conexión de SSHH</t>
  </si>
  <si>
    <t>Registro de volúmenes de material removido</t>
  </si>
  <si>
    <t>Una vez</t>
  </si>
  <si>
    <t>Manejo de aguas servidas</t>
  </si>
  <si>
    <t>Medidas de control de ruido</t>
  </si>
  <si>
    <t>Monitoreo de ruido y vibraciones</t>
  </si>
  <si>
    <t>Fauna</t>
  </si>
  <si>
    <t>Residuos sólidos</t>
  </si>
  <si>
    <t>Manejo de excedentes de excavación</t>
  </si>
  <si>
    <t>Exedentes de excavación en área de acopio temporal</t>
  </si>
  <si>
    <t>Registros de disposición de residuos en relleno sanitario
Autorización sanitaria relleno sanitario</t>
  </si>
  <si>
    <t>Registros de retiro de excedentes de excavación</t>
  </si>
  <si>
    <t>Aire</t>
  </si>
  <si>
    <t>Medio humano</t>
  </si>
  <si>
    <t>Medidas de control de material particulado</t>
  </si>
  <si>
    <t>Procedimiento de control de polvo en obra</t>
  </si>
  <si>
    <t>Elaborar Procedimiento de control de polvo en obra</t>
  </si>
  <si>
    <t>Registro de verificación de medidas de control y manejo de emisiones acústicas.</t>
  </si>
  <si>
    <t>Otras medidas de control y manejo de emisiones acústicas</t>
  </si>
  <si>
    <t>Disponer de baños químicos en frente de trabajo sector playa</t>
  </si>
  <si>
    <t>residuos líquidos</t>
  </si>
  <si>
    <t>Efectuar declaración de residuos en SINADER de Ventanilla única de RETC</t>
  </si>
  <si>
    <t>Respaldos mensuales y anuales de declaración de residuos en SINADER</t>
  </si>
  <si>
    <t>Manejo de residuos sólidos</t>
  </si>
  <si>
    <t>Registro de inspección de manejo de RSD en faena</t>
  </si>
  <si>
    <t>RSD retirados al menos 3 veces por semana por servicio municipal</t>
  </si>
  <si>
    <t>Manejo de RESPEL</t>
  </si>
  <si>
    <t>Autorización sanitaria empresa de transporte de RESPEL</t>
  </si>
  <si>
    <t>Autorización sanitaria empresa de disposición final de RESPEL</t>
  </si>
  <si>
    <t>Autorización sanitaria empresa de transporte de RESPEL
Respaldos SIDREP</t>
  </si>
  <si>
    <t>Autorización sanitaria empresa de disposición final de RESPEL
Respaldos SIDREP</t>
  </si>
  <si>
    <t>Efectuar declaración anual de residuos en Ventanilla única de RETC</t>
  </si>
  <si>
    <t>Respaldo declaración anual en ventanilla única RETC</t>
  </si>
  <si>
    <t>Autorización sanitaria de funcionamiento Bodega de RESPEL</t>
  </si>
  <si>
    <t>Agua</t>
  </si>
  <si>
    <t>Suministro agua potable</t>
  </si>
  <si>
    <t>Suministro agua potable en PTPAS</t>
  </si>
  <si>
    <t>Copias de las facturas de cobro del agua potable que proveedores autorizados.</t>
  </si>
  <si>
    <t>Uso de 400 m3 de agua potable para proceso de construcción</t>
  </si>
  <si>
    <t>Registros de consumo de agua potable</t>
  </si>
  <si>
    <t>Registros de compra de agua potable en dispensadores.
Autorización sanitaria empresa suminstro de dispensador de bidones.</t>
  </si>
  <si>
    <t>General</t>
  </si>
  <si>
    <t>Suministro agua potable en sector playa por medio de dispensadores provistos por empresas autorizadas</t>
  </si>
  <si>
    <t>Registro y copia de certificado del contratista de autorización para el transporte de explosivos.</t>
  </si>
  <si>
    <t>Transporte de explosivos por empresa autorizada</t>
  </si>
  <si>
    <t>Sustancias peligrosas</t>
  </si>
  <si>
    <t>Arqueología</t>
  </si>
  <si>
    <t>Monitoreo arqueológico</t>
  </si>
  <si>
    <t>Mensual</t>
  </si>
  <si>
    <t>En cada oportunidad</t>
  </si>
  <si>
    <t>Medio marino</t>
  </si>
  <si>
    <t>Autorización de inicio de obras sector Playa</t>
  </si>
  <si>
    <t>Remitir a SMA autorización de DOM</t>
  </si>
  <si>
    <t>Contar con autorización DOM para instalaciones en sector Playa (según Art 124 LGUC), antes del inicio de las obras</t>
  </si>
  <si>
    <t>Comprobante de remisión de autorización DOM a SMA</t>
  </si>
  <si>
    <t>Coordinar con Dirección de tránsito la instalación de señaléticas temporales</t>
  </si>
  <si>
    <t>Retiro de señalética una vez finalizadas las obras</t>
  </si>
  <si>
    <t>Registro documental y fotográfico fechado y georreferenciado de retiro de señalética.</t>
  </si>
  <si>
    <t>Coordinar con Dirección de tránsito para intervención de semáforos</t>
  </si>
  <si>
    <t>Realizar intervención de las 4 intersecciones indicadas mediante regulación de tiempos mediante paleteros y semáforos móviles</t>
  </si>
  <si>
    <t>Registro documental y fotográfico fechado y georreferenciado de intervención de intersecciones.</t>
  </si>
  <si>
    <t xml:space="preserve">Minutas de reuniones y/o envíos de información con Dirección de tránsito.
Requisitos técnicos aprobados por Dirección de tránsito
</t>
  </si>
  <si>
    <t>Puntos a monitorear ruido y vibraciones</t>
  </si>
  <si>
    <t>Informe de monitoreo que incluya registro fotográfico y georrerferenciado de puntos de monitoreo</t>
  </si>
  <si>
    <t>Ruido y vibraciones</t>
  </si>
  <si>
    <t>Reportar informe de resultados de monitoreo a SMA</t>
  </si>
  <si>
    <t>Comprobante de reporte a la SMA a través del Sistema de Seguimiento Ambiental (SSA)</t>
  </si>
  <si>
    <t>Elaborar protocolo de comunicación según contenidos requeridos</t>
  </si>
  <si>
    <t>Antes del inicio de las obras</t>
  </si>
  <si>
    <t>Durante las obras de construcción</t>
  </si>
  <si>
    <t>Contratos con empresas de la región</t>
  </si>
  <si>
    <t>Priorizar contratar empresas contratistas de la Región, siempre que se cumplan estándares técnicos necesarios</t>
  </si>
  <si>
    <t>Inclusión de trabajadores locales sobre el 50 %, , siempre que se cumplan estándares técnicos necesarios</t>
  </si>
  <si>
    <t>Nómina actualizada de trabajadores contratados (directos, contratistas y subcontratistas) con indicación de domicilio e indicador de % respecto del total</t>
  </si>
  <si>
    <t>Considerar paridad de género en la contratación de trabajadores, siempre que se cumplan estándares técnicos necesarios</t>
  </si>
  <si>
    <t>Nómina actualizada de trabajadores contratados (directos, contratistas y subcontratistas) con indicación de sexo.</t>
  </si>
  <si>
    <t>Plan de perturbación controlada</t>
  </si>
  <si>
    <t>Aplicación de perturbación controlada en área de exclusión para fauna terrestre (0,68 hás)</t>
  </si>
  <si>
    <t>Informe de ejecución de perturbación controlada con indicación de transectas dentro del área de exclusión</t>
  </si>
  <si>
    <t xml:space="preserve">Enviar informe de ejecución de perturbación controlada a SMA a través de plataforma SSA </t>
  </si>
  <si>
    <t>Respaldo de envío de informa a través de plataforma SSA de SMA</t>
  </si>
  <si>
    <t>Antes de la intervención del sitio</t>
  </si>
  <si>
    <t>Protección de aves sensibles en periodo reproductivo y/o anidamiento.</t>
  </si>
  <si>
    <t xml:space="preserve">Elaboración de informe de ejecución de la medida de protección </t>
  </si>
  <si>
    <t xml:space="preserve">Enviar informe de ejecución de medida de protección de aves a SMA a través de plataforma SSA </t>
  </si>
  <si>
    <t xml:space="preserve">Informe con detalle de ejecución de medida de protección de aves </t>
  </si>
  <si>
    <t>Ejecución de tronaduras</t>
  </si>
  <si>
    <t>Autorización de consumidor de explosivos.
Autorizaciones transporte de Explosivos.
Autorizaciones polvorines de almacenamiento de explosivos</t>
  </si>
  <si>
    <t>Transporte</t>
  </si>
  <si>
    <t>Registros de transporte de excedentes de excavación</t>
  </si>
  <si>
    <t>Registros de consumo de agua potable (orden de compra, facturas)</t>
  </si>
  <si>
    <t>Insumos</t>
  </si>
  <si>
    <t>Suministro y consumo de agua potable</t>
  </si>
  <si>
    <t>Suministro y consumo de energía</t>
  </si>
  <si>
    <t xml:space="preserve">Factura de consumo de energía eléctrica </t>
  </si>
  <si>
    <t>Configuración de barrera acústica perimetral en placas OSB de 3.6 m de altura, 15mm de espesor, revestimiento interno de fibra vidrio de 50 mm,  con uniones selladas.</t>
  </si>
  <si>
    <t xml:space="preserve">Implementar barrera acústica perimetral en sectores cercanos a receptores 3 y 4 </t>
  </si>
  <si>
    <t>Liberación de fauna en zona de exclusión antes de cada tronadura</t>
  </si>
  <si>
    <t>Informe trimestral de medidas de control de ruidos submarinos</t>
  </si>
  <si>
    <t>Verificar inicialmente presencia de fauna en radio de exclusión mediante vuelos de dron en trasectos costeros y marinos</t>
  </si>
  <si>
    <t>Coordinar con Sernapesca, acuicultura y Seremi MA presencia de inspectores durante desarrollo de tronaduras</t>
  </si>
  <si>
    <t>Registros de comunicación con autoridades correspondientes</t>
  </si>
  <si>
    <t>Contar presencia de inspectores técnicos durante ejecución de tronaduras (según lo resuelto por autoridades)</t>
  </si>
  <si>
    <t>Registros de inspección técnica de tronaduras</t>
  </si>
  <si>
    <t>Medidas de control de ruido en tronaduras</t>
  </si>
  <si>
    <t>Trimestral</t>
  </si>
  <si>
    <t>Elaboración de informe trimestral de ejecución de medidas de control de ruidos submarinos</t>
  </si>
  <si>
    <t>Reportar informe de ejecución de medidas de control de ruidos submarinos a SMA</t>
  </si>
  <si>
    <t>Aplicar cortina de burbujas durante actividades de perforación submarina</t>
  </si>
  <si>
    <t>Monitoreo de rudio en medio marino durante tronaduras</t>
  </si>
  <si>
    <t>Mantener registro de uso y retiro de excedentes</t>
  </si>
  <si>
    <t>Registros de uso y retiro de excedentes</t>
  </si>
  <si>
    <t>Reportar a SMA y autoridad marítima informe de uso y retiro de excedentes de excavación</t>
  </si>
  <si>
    <t>Comprobante de reporte a la SMA y autoridad marítima a través del Sistema de Seguimiento Ambiental (SSA)</t>
  </si>
  <si>
    <t>Informe de uso y retiro de excedentes (con registro fotográfico y georreferenciado del material usado y/o retirado)</t>
  </si>
  <si>
    <t>Manejo de material de exvacación</t>
  </si>
  <si>
    <t>Elaborar informe consolidado de uso y retiro de excedentes</t>
  </si>
  <si>
    <t>Realizar Inducciones arqueológicas al personal involucrado en las excavaciones</t>
  </si>
  <si>
    <t>Arqueologo/a o licenciado/a en arqueología a cargo del monitoreo y charlas de inducción</t>
  </si>
  <si>
    <t>CV y certificado de Arqueologo/a o licenciado/a en arqueología a cargo del monitoreo y charlas de inducción</t>
  </si>
  <si>
    <t>Efectuar monitoreo arqueológico permanente en todas las actividades que consideren cualquier tipo de remoción de la superficie y excavación sub-superficial en el área del proyecto.</t>
  </si>
  <si>
    <t>Registros de inducciones con listado firmado de asistentes y relator</t>
  </si>
  <si>
    <t xml:space="preserve">Informes de monitoreo arqueológico y registros de bitácora de inspección diaria </t>
  </si>
  <si>
    <t xml:space="preserve">Remitir a SMA y CMN informe mensual de monitoreo arqueológico a través de plataforma SSA </t>
  </si>
  <si>
    <t>Comprobante de reporte a la SMA y CMN a través del Sistema de Seguimiento Ambiental (SSA)</t>
  </si>
  <si>
    <t>Informe mensual de monitoreo con contenidos indicados con firma de arqueólogo a cargo.</t>
  </si>
  <si>
    <t>Elaborar informe mensual de monitoreo arqueológico con contenidos indicados</t>
  </si>
  <si>
    <t>Programa de Vigilancia Ambiental para la Calidad del Agua</t>
  </si>
  <si>
    <t>Informe de monitoreo de calidad de agua con indicación de parámetros a monitorear</t>
  </si>
  <si>
    <t>Informe de monitoreo de calidad de agua con indicación georreferenciada de estaciones de monitoreo</t>
  </si>
  <si>
    <t xml:space="preserve">Enviar informe de campaña de monitoreo de calidad de agua a SMA </t>
  </si>
  <si>
    <t>Comprobante de reporte de informe de monitoreo de calidad de agua a la SMA a través del Sistema de Seguimiento Ambiental (SSA)</t>
  </si>
  <si>
    <t>Monitorear SST, Turbidez, OD y T° en cada campaña</t>
  </si>
  <si>
    <t>Programa de Vigilancia Ambiental para comunidades intermareales de fondos duros</t>
  </si>
  <si>
    <t>Monitorear Riqueza, abundancia/densidad, diversidad y cobertura de comunidades intermareales de fondos duros en cada campaña</t>
  </si>
  <si>
    <t>Informe de monitoreo de comunidades intermareales de fondos duros con indicación de parámetros a monitorear</t>
  </si>
  <si>
    <t>La primera campaña de monitoreo se realizará dos semanas posterior ocurridas las primeras tronaduras, mientras que las siguientes campañas tendrán una frecuencia de monitoreo bimensual, extendiéndose por un período de 10 meses en total, o al término de las tronaduras.</t>
  </si>
  <si>
    <t>Realización de muestreo y análisis de comunidades en las 4 estaciones de monitoreo indicadas</t>
  </si>
  <si>
    <t xml:space="preserve">Enviar informe de campaña de monitoreo de comunidades intermareales de fondos duros a SMA </t>
  </si>
  <si>
    <t>Comprobante de reporte de informe de monitoreo de de comunidades intermareales de fondos duros a la SMA a través del Sistema de Seguimiento Ambiental (SSA)</t>
  </si>
  <si>
    <t>Programa de Vigilancia Ambiental para comunidades submareales de fondos blandos</t>
  </si>
  <si>
    <t>Monitorear Riqueza, abundancia/densidad, diversidad y cobertura de comunidades submareales de fondos blandos en cada campaña</t>
  </si>
  <si>
    <t>Informe de monitoreo de  comunidades submareales de fondos blandos  con indicación de parámetros a monitorear</t>
  </si>
  <si>
    <t>La primera campaña de monitoreo se realizará dos semanas posterior ocurridas las primeras tronaduras, mientras que las siguientes campañas tendrán una frecuencia de monitoreo bimensual, extendiéndose por un período de 10 meses en total.</t>
  </si>
  <si>
    <t>Informe de monitoreo de comunidades submareales de fondos blandos con indicación georreferenciada de estaciones de monitoreo</t>
  </si>
  <si>
    <t xml:space="preserve">Enviar informe de campaña de monitoreo de comunidades submareales de fondos blandos a SMA </t>
  </si>
  <si>
    <t>Comprobante de reporte de informe de monitoreo de de comunidades submareales de fondos blandos a la SMA a través del Sistema de Seguimiento Ambiental (SSA)</t>
  </si>
  <si>
    <t xml:space="preserve">Realización de muestreo de calidad de agua en las 4 estaciones de monitoreo indicadas </t>
  </si>
  <si>
    <t>Monitoreo continuo de calidad de agua</t>
  </si>
  <si>
    <t>Parámetros a monitorear en estación móvil SS, turbidez, DO, pH, ORP y conductividad</t>
  </si>
  <si>
    <t xml:space="preserve">Enviar registros de monitoreo continuo de calidad de agua a SMA </t>
  </si>
  <si>
    <t>Registro de inspección de acopio transitorio de RINP</t>
  </si>
  <si>
    <t>Obtención de autorización sanitaria de funcionamiento de sitio de acopio temporal de residuos no peligrosos en frente playa</t>
  </si>
  <si>
    <t>Mantener control de vectores sanitarios a través de empresa autorizada</t>
  </si>
  <si>
    <t>Registros de control de vectores sanitarios.
Autorización sanitaria empresa de control de vectores</t>
  </si>
  <si>
    <t>Registro de generación de residuos sólidos</t>
  </si>
  <si>
    <t>RSD acumulados en contenedores con tapa, cerrados y bolsa en interior, en instalación de faena</t>
  </si>
  <si>
    <t>residuos sólidos</t>
  </si>
  <si>
    <t>Informar a SMA inicio de fase de construcción</t>
  </si>
  <si>
    <t>Informar a SMA inicio de fase de construcción al menos con una semana de anticipación</t>
  </si>
  <si>
    <t>Respaldo de aviso de inicio de fase de construcción</t>
  </si>
  <si>
    <t>Al menos una semana antes del inicio de la fase de construcción</t>
  </si>
  <si>
    <t>Informar a SMA  gestión, acto o faena mínima de inicio de obras</t>
  </si>
  <si>
    <t>Informar a SMA la realización de gestión, acto o faena mínima que de cuenta del inicio de obras</t>
  </si>
  <si>
    <t>Respaldo de informe de ejecución de faena mínima de inicio de obras</t>
  </si>
  <si>
    <t>Tipo y cantidad de RESPEL generados</t>
  </si>
  <si>
    <t>Mantener registro de ingreso y egreso de RESPEL en bodega, indicando tipo, cantidad y peligrosidad.</t>
  </si>
  <si>
    <t>Registros de ingreso y egreso de RESPEL en bodega, indicando tipo, cantidad y peligrosidad.</t>
  </si>
  <si>
    <t>Permanencia de RESPEL en bodegas en un plazo máximo de 6 meses</t>
  </si>
  <si>
    <t>Implementar PTAS modular con disposición de aguas tratadas hacia cámara conectada a PEAS Pinares o en cámara de carga de PTPAS.</t>
  </si>
  <si>
    <t>Registro de instalación y funcionamiento de PTAS modular</t>
  </si>
  <si>
    <t>Acopio temporal de excedentes de excavación</t>
  </si>
  <si>
    <t>Bodega RESPEL</t>
  </si>
  <si>
    <t>Registros de inpección instalación de faenas sector PTPAS</t>
  </si>
  <si>
    <t>Respaldos de lavado de vehículos y maquinarias en instalaciones externas</t>
  </si>
  <si>
    <t>Lavado de vehículos y maquinarias en instalaciones externas autorizdas</t>
  </si>
  <si>
    <t>Tipo y cantidad de residuos fase de construcción</t>
  </si>
  <si>
    <t>Medidas de protección de ruido a trabajadores</t>
  </si>
  <si>
    <t>Registros de uso de protectores auditivos en faena</t>
  </si>
  <si>
    <t>Regoistros de generación de RSNP durante construcción</t>
  </si>
  <si>
    <t>Servicios higiénicos de instalación de faena conectados a sistema de alcantarillado de PTPAS</t>
  </si>
  <si>
    <t>Almacenamiento de residuos no peligrosos en sitio al interior de PTPAS</t>
  </si>
  <si>
    <t>Dar aviso de inicio de faenas de construcción a Capitanía de Puerto</t>
  </si>
  <si>
    <t>Obtener autorización de capítanía de Puerto para faenas de trabajo marítimo en embarcaciones y artefactos navales</t>
  </si>
  <si>
    <t>Obtener autorización de capítanía de Puerto para faenas de trabajo submarino de buceo</t>
  </si>
  <si>
    <t>Respaldo de aviso de inicio de obra a Capitanía de Puerto Antofagasta</t>
  </si>
  <si>
    <t>Obtener autorización SHOA para realización de plan de vigilancia ambiental</t>
  </si>
  <si>
    <t>Autorización  SHOA para actividades del PVA</t>
  </si>
  <si>
    <t>Autorización de Capitanía de Puerto Antofagasta para faenas de trabajo marítimo en embarcaciones y artefactos navales</t>
  </si>
  <si>
    <t>Autorización de capítanía de Puerto Antofagasta para faenas de trabajo submarino de buceo</t>
  </si>
  <si>
    <t>Obtener autorización de Gobernación Marítima de Antofagasta para ejecución de pruebas hidráulicas y/o hidrostáticas de emisario y descarga de emergencia</t>
  </si>
  <si>
    <t>Autorización de Gobernación Marítima de Antofagasta para ejecución de pruebas hidráulicas y/o hidrostáticas de emisario y descarga de emergencia</t>
  </si>
  <si>
    <t>Efectuar presentación de ingeniería de detalle del proyecto antes del inicio de su ejecución para obtener aprobación</t>
  </si>
  <si>
    <t>Autorización de DOP</t>
  </si>
  <si>
    <t>Obtener autorización a DOP de MOP</t>
  </si>
  <si>
    <t>Obtener autorización SHOA</t>
  </si>
  <si>
    <t>Dar aviso de inicio de faenas a Capitanía de Puerto</t>
  </si>
  <si>
    <t>Instalación de faena</t>
  </si>
  <si>
    <t>Remitir a Seremi BBNN resumen de identificación de proveedores y ordenes de compra mensuales</t>
  </si>
  <si>
    <t>Suministro de hormigón</t>
  </si>
  <si>
    <t>Respaldo de envío a Seremi BBNN de informe de proveedores de hormigón (incluyendo ODC).</t>
  </si>
  <si>
    <t>Durante periodo de construcción que implique ejecución de tronaduras con desvíos de tránsito</t>
  </si>
  <si>
    <t>Obtener autrización de DOM</t>
  </si>
  <si>
    <t xml:space="preserve">Lavado de  vehículos y maquinarias </t>
  </si>
  <si>
    <t>Comprobante de envío de registros de monitoreo continuo de calidad de agua a SMA a través del Sistema de Seguimiento Ambiental (SSA)</t>
  </si>
  <si>
    <t>Registro de inspección de zona de almacenamiento de residuos al interior planta</t>
  </si>
  <si>
    <t>Obtener autorización sanitaria de Almacenamiento de residuos no peligrosos en sitio al interior de PTPAS</t>
  </si>
  <si>
    <t>Autorización sanitaria de Almacenamiento de residuos no peligrosos en sitio al interior de PTPAS</t>
  </si>
  <si>
    <t>Medidas de prevención de incendios</t>
  </si>
  <si>
    <t>Efectuar reuniones con bomberos para evaluar capacidad de apoyo ante incendios</t>
  </si>
  <si>
    <t>Registro de reunión con bomberos</t>
  </si>
  <si>
    <t>Entregar a bomberos copia de plano de sala de generadores</t>
  </si>
  <si>
    <t>Registro de entrega de plano de sala de generadores a bomberos</t>
  </si>
  <si>
    <t>Contar con señalización de ubicación de extintores y vías de evacuación</t>
  </si>
  <si>
    <t>Registro de inspección de extintores en planta</t>
  </si>
  <si>
    <t>Efectuar simulacros de evacuación en coordinación con bomberos</t>
  </si>
  <si>
    <t>Reporte de ejecución de simulacro.</t>
  </si>
  <si>
    <t>Realizar capacitaciones a parte del personal acerca del uso y manejo de extintores</t>
  </si>
  <si>
    <t>Lista firmada de asistentes a  capacitaciones acerca de uso y manejo de extintores, con indicación de contenidos y registro fotográfico</t>
  </si>
  <si>
    <t>sustancias peligrosas</t>
  </si>
  <si>
    <t>Manejo de combustibles</t>
  </si>
  <si>
    <t>Instalar y mantener atril metálico que contenga tres valdes de arena para combatir derrames durante trasvasije de combustibles</t>
  </si>
  <si>
    <t>Transporte de  combustibles a través de empresas autorizadas</t>
  </si>
  <si>
    <t>Autorización SEC empresa de transporte de combustibles</t>
  </si>
  <si>
    <t>Realizar capacitaciones a operarios en manejo de contingencias relacionadas a derrames de combustibles</t>
  </si>
  <si>
    <t>Lista firmada de asistentes a  capacitaciones con indicación de contenidos y registro fotográfico</t>
  </si>
  <si>
    <t>Usar equipos y contenedores adecuados para contener derrames durante trasvasije de combustibles</t>
  </si>
  <si>
    <t>Procedimiento de trasvasije de combustible.
Registros de inspección de actividad de trasvasije de combustible</t>
  </si>
  <si>
    <t>trimestral</t>
  </si>
  <si>
    <t xml:space="preserve">Procedimiento carga de combustible.
</t>
  </si>
  <si>
    <t>No habrá almacenamiento de combustible, sino carga directa de combustible a grupos electrogenos</t>
  </si>
  <si>
    <t xml:space="preserve">Procedimiento de transporte de explosivos.
Procedimiento de almacenamiento de explosivos
Procedimiento de manipulación de explosivos.
 </t>
  </si>
  <si>
    <t>Contratista debe contar con procedimiento de transporte, almacenamiento y manipulación de explosivos</t>
  </si>
  <si>
    <t>Registros de inspección de mantención de atril con valdes de arena</t>
  </si>
  <si>
    <t xml:space="preserve">Frente de trabajo sector playa </t>
  </si>
  <si>
    <t>Area de almacenamiento temporal de residuos con cierre perimetral de malla acma y suelo compactado</t>
  </si>
  <si>
    <t>Instalación de faena interior PTPAS</t>
  </si>
  <si>
    <t xml:space="preserve">Sitio de almacenamiento de RNP en sector playa </t>
  </si>
  <si>
    <t>PTAS temporal  frente playa</t>
  </si>
  <si>
    <t>Sitio de almacenamiento de RNP interior PTPAS</t>
  </si>
  <si>
    <t>Monitoreo de ruido y  vibraciones (CV)</t>
  </si>
  <si>
    <t>Contratación de mano de obra local (CV)</t>
  </si>
  <si>
    <t>Coordinación e Instalación y retiro de señales transitorias de tránsito (CV)</t>
  </si>
  <si>
    <t>Intervención nodos semaforizados (CV)</t>
  </si>
  <si>
    <t>Protocolo de comunicación comunidad (CV)</t>
  </si>
  <si>
    <t>Residuos no peligrosos dispuestos en relleno sanitario autorizado</t>
  </si>
  <si>
    <t>Elementos en Instalación de faena al interior de PTPAS</t>
  </si>
  <si>
    <t>Respaldo Report de servicio de retiro y transporte de residuos</t>
  </si>
  <si>
    <t>Antes de cada tronadura, Durante periodo de ejecución de tronaduras</t>
  </si>
  <si>
    <t>Anual</t>
  </si>
  <si>
    <t>Bimensual</t>
  </si>
  <si>
    <t>Diaria/trimestrales</t>
  </si>
  <si>
    <t>Semanal</t>
  </si>
  <si>
    <t>Semestral</t>
  </si>
  <si>
    <t>Al inicio de fase de construcción</t>
  </si>
  <si>
    <t>Hasta 20 días después de ejecutada medida de protección de aves</t>
  </si>
  <si>
    <t>Durante desvíos de tránsito</t>
  </si>
  <si>
    <t>Hasta 30 días después de ejecutada la campaña de perturbación</t>
  </si>
  <si>
    <t>Hasta 30 días después de ejecutada la medida de protección de aves</t>
  </si>
  <si>
    <t>Un mes antes del inicio de las obras</t>
  </si>
  <si>
    <t xml:space="preserve">Componente </t>
  </si>
  <si>
    <t>Faena</t>
  </si>
  <si>
    <t>Area Responsable</t>
  </si>
  <si>
    <t>Observaciones</t>
  </si>
  <si>
    <t>Documento /Accion</t>
  </si>
  <si>
    <t>Aspectos mínimos del plan de tronaduras</t>
  </si>
  <si>
    <t>Resultado</t>
  </si>
  <si>
    <t>Unidades</t>
  </si>
  <si>
    <t>Calidad</t>
  </si>
  <si>
    <t>Tipo de Tarea</t>
  </si>
  <si>
    <t xml:space="preserve">Plan/Informe </t>
  </si>
  <si>
    <t>Autorización/Informe</t>
  </si>
  <si>
    <t>Procedimiento/Informe</t>
  </si>
  <si>
    <t>Registros/Informe</t>
  </si>
  <si>
    <t>Factura/Informe</t>
  </si>
  <si>
    <t>Ordenes/Informe</t>
  </si>
  <si>
    <t>Registro/Informe</t>
  </si>
  <si>
    <t>Informe/Informe</t>
  </si>
  <si>
    <t>Comprobante/Informe</t>
  </si>
  <si>
    <t>Nómina/Informe</t>
  </si>
  <si>
    <t>registros/Informe</t>
  </si>
  <si>
    <t>Respaldo/Informe</t>
  </si>
  <si>
    <t>Reporte/Informe</t>
  </si>
  <si>
    <t>Obtención/Informe</t>
  </si>
  <si>
    <t>Respaldos/Informe</t>
  </si>
  <si>
    <t>Copias/Informe</t>
  </si>
  <si>
    <t>Informes/Informe</t>
  </si>
  <si>
    <t>Protocolo/Informe</t>
  </si>
  <si>
    <t>Minutas/Informe</t>
  </si>
  <si>
    <t>Contratos/Informe</t>
  </si>
  <si>
    <t>Regoistros/Informe</t>
  </si>
  <si>
    <t>Lista/Informe</t>
  </si>
  <si>
    <t>Gestion /Autorizacion</t>
  </si>
  <si>
    <t>Gestion /potable (ord</t>
  </si>
  <si>
    <t>Gestion /RESPEL en bo</t>
  </si>
  <si>
    <t>Gestion /registro fot</t>
  </si>
  <si>
    <t>Gestion/Registro</t>
  </si>
  <si>
    <t xml:space="preserve">Promedio 5 tronaduras </t>
  </si>
  <si>
    <t>Elaborar mensualmente registro de transporte con los distintos niveles  de actividad ( vertedero mejillones)</t>
  </si>
  <si>
    <t>Periodicidad</t>
  </si>
  <si>
    <t xml:space="preserve">Descripcion </t>
  </si>
  <si>
    <t>Etapa Proyecto</t>
  </si>
  <si>
    <t>12 Meses promedio</t>
  </si>
  <si>
    <t>Prevencion/Medioambiente</t>
  </si>
  <si>
    <t>Oficina Tecnica /Administracion</t>
  </si>
  <si>
    <t xml:space="preserve">Suministro y consumo </t>
  </si>
  <si>
    <t>Ordenes de compra de hormigón. Relleno.Moldajes</t>
  </si>
  <si>
    <t>Retiro de material de excavación tramo terrestre de 1050-3660-753-1568 m3</t>
  </si>
  <si>
    <t>Gestion / Certificado</t>
  </si>
  <si>
    <t xml:space="preserve">Ejecutar obra según descricpcion. Requiere coordinacion con ECONSSA 
</t>
  </si>
  <si>
    <t>Obra</t>
  </si>
  <si>
    <t>obra</t>
  </si>
  <si>
    <t xml:space="preserve">Ejecutar Obra según especificacion 
</t>
  </si>
  <si>
    <t>Por tronadura</t>
  </si>
  <si>
    <t>Registros de monitoreo de ruido submarino diario</t>
  </si>
  <si>
    <t>registros de monitoreo continuo de calidad de agua Diario</t>
  </si>
  <si>
    <t xml:space="preserve">Informe </t>
  </si>
  <si>
    <t>Realizar campaña de verificacion y perturbacion controlada previo y durante tronaduras</t>
  </si>
  <si>
    <t>Registros de ejecución de tronaduras con indicaciónes</t>
  </si>
  <si>
    <t xml:space="preserve">Ver indicaciones en tabla general </t>
  </si>
  <si>
    <t>Ejecutar isntalacion y funcionamiento cortinas de burbijas. Generar resgistro</t>
  </si>
  <si>
    <t xml:space="preserve">Elaborar regsitro de residuos solidos con indicaciones RCA </t>
  </si>
  <si>
    <t xml:space="preserve">Registro de inspección según indicaciones RCA </t>
  </si>
  <si>
    <t>Ver indicaciones y detalle registro</t>
  </si>
  <si>
    <t xml:space="preserve">Disponer baños quimicos Frente playa 
</t>
  </si>
  <si>
    <t>Registros de RESPEL en bodega. Regitro de inspeccioen RESPEL</t>
  </si>
  <si>
    <t xml:space="preserve">Una vez </t>
  </si>
  <si>
    <t>Gestion de diseño, instalacion y coordinacion con autoridad para instalacion de señaletica durante tronadura</t>
  </si>
  <si>
    <t>Una vez finalizada las obras ( Tronaduras)</t>
  </si>
  <si>
    <t xml:space="preserve">25 dias total </t>
  </si>
  <si>
    <t>En proceso</t>
  </si>
  <si>
    <t>En revision DOP</t>
  </si>
  <si>
    <t>Obtenido permiso</t>
  </si>
  <si>
    <t>Fecha actualizacion</t>
  </si>
  <si>
    <t>Rev</t>
  </si>
  <si>
    <t>N°</t>
  </si>
  <si>
    <t>TOTAL</t>
  </si>
  <si>
    <t>%Avance</t>
  </si>
  <si>
    <t>Obras 1</t>
  </si>
  <si>
    <t>Obras 2</t>
  </si>
  <si>
    <t>Obras 3</t>
  </si>
  <si>
    <t>Fauna 1</t>
  </si>
  <si>
    <t>Fauna 2</t>
  </si>
  <si>
    <t>Aire 1</t>
  </si>
  <si>
    <t>Aire 2</t>
  </si>
  <si>
    <t>Aire 3</t>
  </si>
  <si>
    <t>Aire 4</t>
  </si>
  <si>
    <t>Aire 5</t>
  </si>
  <si>
    <t>Aire 6</t>
  </si>
  <si>
    <t>Aire 7</t>
  </si>
  <si>
    <t>Aire 8</t>
  </si>
  <si>
    <t>Registros de transporte de excedentes excavación</t>
  </si>
  <si>
    <t>Obras 4</t>
  </si>
  <si>
    <t>RESLIQ 1</t>
  </si>
  <si>
    <t>RESLIQ 2</t>
  </si>
  <si>
    <t>RESLIQ 3</t>
  </si>
  <si>
    <t>RESLIQ 4</t>
  </si>
  <si>
    <t>Fauna 3</t>
  </si>
  <si>
    <t>RESOL 1</t>
  </si>
  <si>
    <t>RESOL 2</t>
  </si>
  <si>
    <t>RESOL 3</t>
  </si>
  <si>
    <t>RESOL 4</t>
  </si>
  <si>
    <t>RESOL 5</t>
  </si>
  <si>
    <t>Aire 9</t>
  </si>
  <si>
    <t>Autorización sanitaria empresa de transporte de RESPEL Respaldos SIDREP</t>
  </si>
  <si>
    <t>Agua 1</t>
  </si>
  <si>
    <t>Agua 2</t>
  </si>
  <si>
    <t>Agua 3</t>
  </si>
  <si>
    <t>Agua 4</t>
  </si>
  <si>
    <t>Registros de compra de agua potable en dispensadores.Autorización sanitaria empresa suminstro de dispensador de bidones.</t>
  </si>
  <si>
    <t>Suspel 1</t>
  </si>
  <si>
    <t>Suspel 2</t>
  </si>
  <si>
    <t>Suspel 3</t>
  </si>
  <si>
    <t>Suspel 4</t>
  </si>
  <si>
    <t>Suspel 5</t>
  </si>
  <si>
    <t>Suspel 6</t>
  </si>
  <si>
    <t>ARQ1</t>
  </si>
  <si>
    <t>ARQ2</t>
  </si>
  <si>
    <t>ARQ3</t>
  </si>
  <si>
    <t>ARQ4</t>
  </si>
  <si>
    <t>ARQ5</t>
  </si>
  <si>
    <t>Obras 5</t>
  </si>
  <si>
    <t>Obras 6</t>
  </si>
  <si>
    <t>MEDHUM 1</t>
  </si>
  <si>
    <t>MEDHUM 2</t>
  </si>
  <si>
    <t>MEDHUM 3</t>
  </si>
  <si>
    <t>MEDHUM 4</t>
  </si>
  <si>
    <t xml:space="preserve">Minutas de reuniones y/o envíos de información con Dirección de tránsito.
Requisitos técnicos aprobados por Dirección de tránsito
</t>
  </si>
  <si>
    <t>MEDHUM 5</t>
  </si>
  <si>
    <t>MEDHUM 6</t>
  </si>
  <si>
    <t>MEDHUM 7</t>
  </si>
  <si>
    <t>MEDHUM 8</t>
  </si>
  <si>
    <t>Fauna 4</t>
  </si>
  <si>
    <t>Fauna 5</t>
  </si>
  <si>
    <t>Fauna 6</t>
  </si>
  <si>
    <t>Fauna 7</t>
  </si>
  <si>
    <t>Lista firmada de asistentes a  capacitaciones acerca de uso y manejo de extintores</t>
  </si>
  <si>
    <t>GEN 1</t>
  </si>
  <si>
    <t>GEN 2</t>
  </si>
  <si>
    <t>GEN 3</t>
  </si>
  <si>
    <t>GEN 4</t>
  </si>
  <si>
    <t>GEN 5</t>
  </si>
  <si>
    <t>GEN 6</t>
  </si>
  <si>
    <t>GEN 7</t>
  </si>
  <si>
    <t>GEN 8</t>
  </si>
  <si>
    <t>Procedimiento de trasvasije de combustible. Registros de inspección de actividad de trasvasije de combustible</t>
  </si>
  <si>
    <t>MEDMA 1</t>
  </si>
  <si>
    <t>MEDMA 2</t>
  </si>
  <si>
    <t>MEDMA 3</t>
  </si>
  <si>
    <t>MEDMA 4</t>
  </si>
  <si>
    <t>MEDMA 5</t>
  </si>
  <si>
    <t>MEDMA 6</t>
  </si>
  <si>
    <t>MEDMA 7</t>
  </si>
  <si>
    <t>MEDMA 8</t>
  </si>
  <si>
    <t>MEDMA 9</t>
  </si>
  <si>
    <t>MEDMA 10</t>
  </si>
  <si>
    <t>MEDMA 11</t>
  </si>
  <si>
    <t>MEDMA 12</t>
  </si>
  <si>
    <t>MEDMA 13</t>
  </si>
  <si>
    <t>MEDMA 14</t>
  </si>
  <si>
    <t>MEDMA 15</t>
  </si>
  <si>
    <t xml:space="preserve">registros de monitoreo continuo de calidad de agua </t>
  </si>
  <si>
    <t>RYB 1</t>
  </si>
  <si>
    <t>RYB 2</t>
  </si>
  <si>
    <t>RYB 3</t>
  </si>
  <si>
    <t>RYB 4</t>
  </si>
  <si>
    <t>RYB 5</t>
  </si>
  <si>
    <t>RYB 6</t>
  </si>
  <si>
    <t>RYB 7</t>
  </si>
  <si>
    <t>RYB 8</t>
  </si>
  <si>
    <t>RYB 9</t>
  </si>
  <si>
    <t>RYB 10</t>
  </si>
  <si>
    <t>RYB 11</t>
  </si>
  <si>
    <t>RESOL 6</t>
  </si>
  <si>
    <t>RESOL 7</t>
  </si>
  <si>
    <t>RESOL 8</t>
  </si>
  <si>
    <t>RESOL 9</t>
  </si>
  <si>
    <t>RESOL 10</t>
  </si>
  <si>
    <t>RESOL 11</t>
  </si>
  <si>
    <t>RESOL 12</t>
  </si>
  <si>
    <t>RESOL 13</t>
  </si>
  <si>
    <t>RESOL 14</t>
  </si>
  <si>
    <t>RESOL 15</t>
  </si>
  <si>
    <t>RESOL 16</t>
  </si>
  <si>
    <t>RESOL 17</t>
  </si>
  <si>
    <t>RESOL 18</t>
  </si>
  <si>
    <t>Obras 7</t>
  </si>
  <si>
    <t>Obras 8</t>
  </si>
  <si>
    <t xml:space="preserve">RUIDO Y VIBRACIONES </t>
  </si>
  <si>
    <t>SUSTANCIAS PELIGROSAS</t>
  </si>
  <si>
    <t xml:space="preserve">Entregar Plan de gestion ambiental </t>
  </si>
  <si>
    <t xml:space="preserve">Entrega Informe </t>
  </si>
  <si>
    <t>GEN 9</t>
  </si>
  <si>
    <t>GEN 10</t>
  </si>
  <si>
    <t xml:space="preserve">Elaborar matriz de seguimiento ambiental </t>
  </si>
  <si>
    <t xml:space="preserve">Protocolo de comunicación comunidad CV elaborado y formalizado </t>
  </si>
  <si>
    <t>Entregables</t>
  </si>
  <si>
    <t>Entregable</t>
  </si>
  <si>
    <t xml:space="preserve">Contratos con empresas de la región. Prsentar contratos ECONSSA </t>
  </si>
  <si>
    <t>PROYECTO</t>
  </si>
  <si>
    <t>AREA</t>
  </si>
  <si>
    <t>ENCARGADO</t>
  </si>
  <si>
    <t>Medio Ambiente</t>
  </si>
  <si>
    <t>CONSTRUCCION  ASTILLERO</t>
  </si>
  <si>
    <t>Remitir a EFONSA el plan de gestion ambiental de la constructora</t>
  </si>
  <si>
    <t xml:space="preserve">Remitir a EFONSA matriz de seguimiento ambiental </t>
  </si>
  <si>
    <t>Jhony Bravo</t>
  </si>
  <si>
    <t>Excavacion borde costero</t>
  </si>
  <si>
    <t>Oficina Tecnica y Calidad</t>
  </si>
  <si>
    <t>Planificacion Tronadura</t>
  </si>
  <si>
    <t>Toda la operación</t>
  </si>
  <si>
    <t>Construccion Lastre</t>
  </si>
  <si>
    <t>Cierre de faena</t>
  </si>
  <si>
    <t>Inicio de obras</t>
  </si>
  <si>
    <t>Ejecucion Tronaduras</t>
  </si>
  <si>
    <t>Excavacion lecho marino</t>
  </si>
  <si>
    <t>Perforaciones Marinas</t>
  </si>
  <si>
    <t>Toda la operación, hasta 25 días después de ejecutada la campaña</t>
  </si>
  <si>
    <t xml:space="preserve">Diaria, durante el día que se ejecute las Primeras 10 tronaduras.
Trimestrales, Toda la operación de tronaduras. </t>
  </si>
  <si>
    <t>Medio ambiente</t>
  </si>
  <si>
    <t>Ejecucion tronaduras.</t>
  </si>
  <si>
    <t>Ejecucion tronaduras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</si>
</sst>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sz val="8"/>
      <name val="Calibri"/>
      <family val="2"/>
      <scheme val="minor"/>
    </font>
    <font>
      <sz val="11"/>
      <color theme="1"/>
      <name val="Arial"/>
      <family val="2"/>
    </font>
    <font>
      <sz val="9"/>
      <color theme="1"/>
      <name val="Arial"/>
      <family val="2"/>
    </font>
    <font>
      <b/>
      <sz val="11"/>
      <name val="Arial"/>
      <family val="2"/>
    </font>
    <font>
      <b/>
      <sz val="9"/>
      <name val="Arial"/>
      <family val="2"/>
    </font>
    <font>
      <b/>
      <sz val="11"/>
      <color theme="1"/>
      <name val="Arial"/>
      <family val="2"/>
    </font>
    <font>
      <sz val="8"/>
      <color theme="1"/>
      <name val="Arial"/>
      <family val="2"/>
    </font>
    <font>
      <sz val="9"/>
      <color theme="1"/>
      <name val="Calibri"/>
      <family val="2"/>
      <scheme val="minor"/>
    </font>
    <font>
      <sz val="8"/>
      <color theme="1"/>
      <name val="Calibri"/>
      <family val="2"/>
      <scheme val="minor"/>
    </font>
    <font>
      <b/>
      <sz val="11"/>
      <color theme="1"/>
      <name val="Calibri"/>
      <family val="2"/>
      <scheme val="minor"/>
    </font>
    <font>
      <b/>
      <sz val="8"/>
      <color theme="1"/>
      <name val="Calibri"/>
      <family val="2"/>
      <scheme val="minor"/>
    </font>
    <font>
      <b/>
      <sz val="9"/>
      <color theme="1"/>
      <name val="Calibri"/>
      <family val="2"/>
      <scheme val="minor"/>
    </font>
    <font>
      <sz val="11"/>
      <color theme="1"/>
      <name val="Calibri"/>
      <family val="2"/>
      <scheme val="minor"/>
    </font>
    <font>
      <b/>
      <sz val="11"/>
      <color theme="6"/>
      <name val="Arial"/>
      <family val="2"/>
    </font>
    <font>
      <u/>
      <sz val="9"/>
      <color theme="1"/>
      <name val="Arial"/>
      <family val="2"/>
    </font>
    <font>
      <u/>
      <sz val="11"/>
      <color theme="1"/>
      <name val="Arial"/>
      <family val="2"/>
    </font>
  </fonts>
  <fills count="5">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3" fillId="0" borderId="0" applyFont="0" applyFill="0" applyBorder="0" applyAlignment="0" applyProtection="0"/>
  </cellStyleXfs>
  <cellXfs count="84">
    <xf numFmtId="0" fontId="0" fillId="0" borderId="0" xfId="0"/>
    <xf numFmtId="0" fontId="2" fillId="0" borderId="0" xfId="0" applyFont="1" applyAlignment="1">
      <alignment horizontal="justify" vertical="top"/>
    </xf>
    <xf numFmtId="0" fontId="2" fillId="0" borderId="0" xfId="0" applyFont="1"/>
    <xf numFmtId="0" fontId="2" fillId="0" borderId="0" xfId="0" applyFont="1" applyAlignment="1">
      <alignment horizontal="center" vertical="top"/>
    </xf>
    <xf numFmtId="0" fontId="2" fillId="0" borderId="0" xfId="0" applyFont="1" applyAlignment="1">
      <alignment horizontal="justify" vertical="top" wrapText="1"/>
    </xf>
    <xf numFmtId="0" fontId="2" fillId="0" borderId="0" xfId="0" applyFont="1" applyAlignment="1">
      <alignment vertical="top"/>
    </xf>
    <xf numFmtId="0" fontId="3" fillId="0" borderId="0" xfId="0" applyFont="1" applyAlignment="1">
      <alignment horizontal="justify" vertical="top"/>
    </xf>
    <xf numFmtId="0" fontId="5" fillId="2" borderId="1" xfId="0" applyFont="1" applyFill="1" applyBorder="1" applyAlignment="1">
      <alignment horizontal="justify" vertical="top"/>
    </xf>
    <xf numFmtId="0" fontId="4" fillId="2" borderId="1" xfId="0" applyFont="1" applyFill="1" applyBorder="1" applyAlignment="1">
      <alignment horizontal="justify" vertical="top"/>
    </xf>
    <xf numFmtId="0" fontId="5" fillId="2" borderId="1" xfId="0" applyFont="1" applyFill="1" applyBorder="1" applyAlignment="1">
      <alignment horizontal="center" vertical="top"/>
    </xf>
    <xf numFmtId="0" fontId="2" fillId="2" borderId="1" xfId="0" applyFont="1" applyFill="1" applyBorder="1" applyAlignment="1">
      <alignment horizontal="justify" vertical="top" wrapText="1"/>
    </xf>
    <xf numFmtId="0" fontId="2" fillId="2" borderId="1" xfId="0" applyFont="1" applyFill="1" applyBorder="1" applyAlignment="1">
      <alignment horizontal="justify" vertical="top"/>
    </xf>
    <xf numFmtId="0" fontId="3" fillId="2" borderId="1" xfId="0" applyFont="1" applyFill="1" applyBorder="1" applyAlignment="1">
      <alignment horizontal="justify" vertical="top"/>
    </xf>
    <xf numFmtId="0" fontId="3" fillId="2" borderId="1" xfId="0" applyFont="1" applyFill="1" applyBorder="1" applyAlignment="1">
      <alignment horizontal="justify" vertical="top" wrapText="1"/>
    </xf>
    <xf numFmtId="0" fontId="2" fillId="2" borderId="1" xfId="0" applyFont="1" applyFill="1" applyBorder="1" applyAlignment="1">
      <alignment vertical="top"/>
    </xf>
    <xf numFmtId="0" fontId="2" fillId="0" borderId="1" xfId="0" applyFont="1" applyBorder="1" applyAlignment="1">
      <alignment horizontal="justify" vertical="top"/>
    </xf>
    <xf numFmtId="0" fontId="2" fillId="0" borderId="1" xfId="0" applyFont="1" applyBorder="1"/>
    <xf numFmtId="0" fontId="2" fillId="0" borderId="1" xfId="0" applyFont="1" applyBorder="1" applyAlignment="1">
      <alignment horizontal="center" vertical="top"/>
    </xf>
    <xf numFmtId="0" fontId="7" fillId="2" borderId="1" xfId="0" applyFont="1" applyFill="1" applyBorder="1" applyAlignment="1">
      <alignment horizontal="justify" vertical="top"/>
    </xf>
    <xf numFmtId="0" fontId="7" fillId="2" borderId="1" xfId="0" applyFont="1" applyFill="1" applyBorder="1" applyAlignment="1">
      <alignment horizontal="justify" vertical="top" wrapText="1"/>
    </xf>
    <xf numFmtId="0" fontId="0" fillId="0" borderId="1" xfId="0" applyBorder="1"/>
    <xf numFmtId="0" fontId="9" fillId="0" borderId="0" xfId="0" applyFont="1"/>
    <xf numFmtId="0" fontId="9" fillId="0" borderId="1" xfId="0" applyFont="1" applyBorder="1"/>
    <xf numFmtId="0" fontId="9" fillId="0" borderId="1" xfId="0" applyFont="1" applyBorder="1" applyAlignment="1">
      <alignment vertical="top" wrapText="1"/>
    </xf>
    <xf numFmtId="0" fontId="9" fillId="0" borderId="0" xfId="0" applyFont="1" applyAlignment="1">
      <alignment vertical="top" wrapText="1"/>
    </xf>
    <xf numFmtId="0" fontId="9" fillId="0" borderId="1" xfId="0" applyFont="1" applyBorder="1" applyAlignment="1">
      <alignment horizontal="left" vertical="top"/>
    </xf>
    <xf numFmtId="0" fontId="11" fillId="0" borderId="1" xfId="0" applyFont="1" applyBorder="1" applyAlignment="1">
      <alignment horizontal="left" vertical="top"/>
    </xf>
    <xf numFmtId="0" fontId="11" fillId="0" borderId="1" xfId="0" applyFont="1" applyBorder="1" applyAlignment="1">
      <alignment vertical="top" wrapText="1"/>
    </xf>
    <xf numFmtId="0" fontId="11" fillId="0" borderId="1" xfId="0" applyFont="1" applyBorder="1" applyAlignment="1">
      <alignment horizontal="center"/>
    </xf>
    <xf numFmtId="0" fontId="9" fillId="0" borderId="1" xfId="0" applyFont="1" applyBorder="1" applyAlignment="1">
      <alignment horizontal="left"/>
    </xf>
    <xf numFmtId="0" fontId="7" fillId="2" borderId="1" xfId="0" applyFont="1" applyFill="1" applyBorder="1" applyAlignment="1">
      <alignment horizontal="left" vertical="top"/>
    </xf>
    <xf numFmtId="0" fontId="7" fillId="2" borderId="1" xfId="0" applyFont="1" applyFill="1" applyBorder="1" applyAlignment="1">
      <alignment horizontal="left" vertical="top" wrapText="1"/>
    </xf>
    <xf numFmtId="0" fontId="0" fillId="0" borderId="0" xfId="0" applyAlignment="1">
      <alignment horizontal="left" vertical="top"/>
    </xf>
    <xf numFmtId="0" fontId="9" fillId="0" borderId="0" xfId="0" applyFont="1" applyAlignment="1">
      <alignment horizontal="left" vertical="top"/>
    </xf>
    <xf numFmtId="0" fontId="7" fillId="2" borderId="1" xfId="0" applyFont="1" applyFill="1" applyBorder="1" applyAlignment="1">
      <alignment vertical="top" wrapText="1"/>
    </xf>
    <xf numFmtId="0" fontId="9" fillId="0" borderId="1" xfId="0" applyFont="1" applyBorder="1" applyAlignment="1">
      <alignment vertical="top"/>
    </xf>
    <xf numFmtId="0" fontId="11" fillId="0" borderId="1" xfId="0" applyFont="1" applyBorder="1" applyAlignment="1">
      <alignment vertical="top"/>
    </xf>
    <xf numFmtId="0" fontId="12" fillId="0" borderId="1" xfId="0" applyFont="1" applyBorder="1" applyAlignment="1">
      <alignment horizontal="center"/>
    </xf>
    <xf numFmtId="0" fontId="12" fillId="0" borderId="0" xfId="0" applyFont="1"/>
    <xf numFmtId="0" fontId="10" fillId="0" borderId="1" xfId="0" applyFont="1" applyBorder="1" applyAlignment="1">
      <alignment horizontal="center"/>
    </xf>
    <xf numFmtId="0" fontId="10" fillId="0" borderId="0" xfId="0" applyFont="1"/>
    <xf numFmtId="0" fontId="7" fillId="0" borderId="1" xfId="0" applyFont="1" applyBorder="1" applyAlignment="1">
      <alignment horizontal="left" vertical="top"/>
    </xf>
    <xf numFmtId="0" fontId="0" fillId="0" borderId="0" xfId="0" applyAlignment="1">
      <alignment horizontal="left"/>
    </xf>
    <xf numFmtId="0" fontId="8" fillId="0" borderId="0" xfId="0" applyFont="1" applyAlignment="1">
      <alignment horizontal="left" wrapText="1"/>
    </xf>
    <xf numFmtId="0" fontId="9" fillId="0" borderId="1" xfId="0" applyFont="1" applyBorder="1" applyAlignment="1">
      <alignment horizontal="left" wrapText="1"/>
    </xf>
    <xf numFmtId="0" fontId="7" fillId="2" borderId="1" xfId="0" applyFont="1" applyFill="1" applyBorder="1" applyAlignment="1">
      <alignment horizontal="left" wrapText="1"/>
    </xf>
    <xf numFmtId="10" fontId="9" fillId="0" borderId="1" xfId="0" applyNumberFormat="1" applyFont="1" applyBorder="1" applyAlignment="1">
      <alignment horizontal="left" vertical="top"/>
    </xf>
    <xf numFmtId="0" fontId="9" fillId="2" borderId="1" xfId="0" applyFont="1" applyFill="1" applyBorder="1" applyAlignment="1">
      <alignment horizontal="justify" vertical="top" wrapText="1"/>
    </xf>
    <xf numFmtId="0" fontId="9" fillId="2" borderId="1" xfId="0" applyFont="1" applyFill="1" applyBorder="1" applyAlignment="1">
      <alignment horizontal="justify" vertical="top"/>
    </xf>
    <xf numFmtId="9" fontId="9" fillId="0" borderId="1" xfId="0" applyNumberFormat="1" applyFont="1" applyBorder="1" applyAlignment="1">
      <alignment horizontal="left"/>
    </xf>
    <xf numFmtId="9" fontId="9" fillId="0" borderId="1" xfId="0" applyNumberFormat="1" applyFont="1" applyBorder="1"/>
    <xf numFmtId="0" fontId="9" fillId="0" borderId="1" xfId="0" applyFont="1" applyBorder="1" applyAlignment="1">
      <alignment horizontal="justify" vertical="top"/>
    </xf>
    <xf numFmtId="9" fontId="9" fillId="0" borderId="1" xfId="0" applyNumberFormat="1" applyFont="1" applyBorder="1" applyAlignment="1">
      <alignment horizontal="left" vertical="top"/>
    </xf>
    <xf numFmtId="0" fontId="2" fillId="2" borderId="0" xfId="0" applyFont="1" applyFill="1" applyAlignment="1">
      <alignment horizontal="justify" vertical="top"/>
    </xf>
    <xf numFmtId="0" fontId="2" fillId="2" borderId="0" xfId="0" applyFont="1" applyFill="1"/>
    <xf numFmtId="0" fontId="6" fillId="3" borderId="1" xfId="0" applyFont="1" applyFill="1" applyBorder="1" applyAlignment="1">
      <alignment horizontal="center" vertical="top"/>
    </xf>
    <xf numFmtId="14" fontId="6" fillId="3" borderId="1" xfId="0" applyNumberFormat="1" applyFont="1" applyFill="1" applyBorder="1"/>
    <xf numFmtId="0" fontId="6" fillId="3" borderId="1" xfId="0" applyFont="1" applyFill="1" applyBorder="1"/>
    <xf numFmtId="0" fontId="14" fillId="3" borderId="1" xfId="0" applyFont="1" applyFill="1" applyBorder="1" applyAlignment="1">
      <alignment horizontal="center" vertical="top"/>
    </xf>
    <xf numFmtId="164" fontId="10" fillId="0" borderId="1" xfId="0" applyNumberFormat="1" applyFont="1" applyBorder="1" applyAlignment="1">
      <alignment horizontal="center"/>
    </xf>
    <xf numFmtId="164" fontId="0" fillId="0" borderId="1" xfId="0" applyNumberFormat="1" applyBorder="1"/>
    <xf numFmtId="164" fontId="0" fillId="0" borderId="0" xfId="0" applyNumberFormat="1"/>
    <xf numFmtId="0" fontId="6" fillId="4" borderId="1" xfId="0" applyFont="1" applyFill="1" applyBorder="1" applyAlignment="1"/>
    <xf numFmtId="0" fontId="6" fillId="4" borderId="1" xfId="0" applyFont="1" applyFill="1" applyBorder="1" applyAlignment="1">
      <alignment horizontal="center" vertical="top"/>
    </xf>
    <xf numFmtId="0" fontId="15" fillId="0" borderId="0" xfId="0" applyFont="1" applyAlignment="1">
      <alignment horizontal="justify" vertical="top"/>
    </xf>
    <xf numFmtId="164" fontId="9" fillId="0" borderId="1" xfId="0" applyNumberFormat="1" applyFont="1" applyBorder="1" applyAlignment="1">
      <alignment horizontal="left" vertical="top"/>
    </xf>
    <xf numFmtId="9" fontId="9" fillId="0" borderId="1" xfId="1" applyFont="1" applyBorder="1"/>
    <xf numFmtId="164" fontId="7" fillId="0" borderId="1" xfId="1" applyNumberFormat="1" applyFont="1" applyBorder="1" applyAlignment="1">
      <alignment horizontal="left" vertical="top"/>
    </xf>
    <xf numFmtId="164" fontId="0" fillId="0" borderId="0" xfId="1" applyNumberFormat="1" applyFont="1" applyAlignment="1">
      <alignment horizontal="left" vertical="top"/>
    </xf>
    <xf numFmtId="0" fontId="16" fillId="2" borderId="1" xfId="0" applyFont="1" applyFill="1" applyBorder="1" applyAlignment="1">
      <alignment horizontal="justify" vertical="top"/>
    </xf>
    <xf numFmtId="0" fontId="6" fillId="4" borderId="1" xfId="0" applyFont="1" applyFill="1" applyBorder="1" applyAlignment="1">
      <alignment horizontal="center"/>
    </xf>
    <xf numFmtId="0" fontId="6" fillId="0" borderId="1" xfId="0" applyFont="1" applyBorder="1" applyAlignment="1">
      <alignment horizontal="center" vertical="top" wrapText="1"/>
    </xf>
    <xf numFmtId="0" fontId="2" fillId="0" borderId="6" xfId="0" applyFont="1" applyBorder="1" applyAlignment="1">
      <alignment horizontal="center" vertical="top"/>
    </xf>
    <xf numFmtId="0" fontId="2" fillId="0" borderId="7" xfId="0" applyFont="1" applyBorder="1" applyAlignment="1">
      <alignment horizontal="center" vertical="top"/>
    </xf>
    <xf numFmtId="0" fontId="2" fillId="0" borderId="8" xfId="0" applyFont="1" applyBorder="1" applyAlignment="1">
      <alignment horizontal="center" vertical="top"/>
    </xf>
    <xf numFmtId="0" fontId="2" fillId="0" borderId="9" xfId="0" applyFont="1" applyBorder="1" applyAlignment="1">
      <alignment horizontal="center" vertical="top"/>
    </xf>
    <xf numFmtId="0" fontId="2" fillId="0" borderId="10" xfId="0" applyFont="1" applyBorder="1" applyAlignment="1">
      <alignment horizontal="center" vertical="top"/>
    </xf>
    <xf numFmtId="0" fontId="2" fillId="0" borderId="11" xfId="0" applyFont="1" applyBorder="1" applyAlignment="1">
      <alignment horizontal="center" vertical="top"/>
    </xf>
    <xf numFmtId="0" fontId="6" fillId="4" borderId="1" xfId="0" applyFont="1" applyFill="1" applyBorder="1" applyAlignment="1">
      <alignment horizontal="center" vertical="top"/>
    </xf>
    <xf numFmtId="0" fontId="6" fillId="4" borderId="2" xfId="0" applyFont="1" applyFill="1" applyBorder="1" applyAlignment="1">
      <alignment horizontal="center" vertical="top"/>
    </xf>
    <xf numFmtId="0" fontId="6" fillId="4" borderId="3" xfId="0" applyFont="1" applyFill="1" applyBorder="1" applyAlignment="1">
      <alignment horizontal="center" vertical="top"/>
    </xf>
    <xf numFmtId="0" fontId="6" fillId="4" borderId="4" xfId="0" applyFont="1" applyFill="1" applyBorder="1" applyAlignment="1">
      <alignment horizontal="center" vertical="top"/>
    </xf>
    <xf numFmtId="0" fontId="0" fillId="0" borderId="5" xfId="0" applyBorder="1" applyAlignment="1">
      <alignment horizontal="center"/>
    </xf>
    <xf numFmtId="0" fontId="9" fillId="0" borderId="5" xfId="0" applyFont="1" applyBorder="1" applyAlignment="1">
      <alignment horizontal="center"/>
    </xf>
  </cellXfs>
  <cellStyles count="2">
    <cellStyle name="Normal" xfId="0" builtinId="0"/>
    <cellStyle name="Porcentaje" xfId="1" builtinId="5"/>
  </cellStyles>
  <dxfs count="24">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justify" vertical="top"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justify" vertical="top" textRotation="0" wrapText="0" indent="0" justifyLastLine="0" shrinkToFit="0" readingOrder="0"/>
    </dxf>
    <dxf>
      <font>
        <strike val="0"/>
        <outline val="0"/>
        <shadow val="0"/>
        <u val="none"/>
        <vertAlign val="baseline"/>
        <sz val="11"/>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justify" vertical="top" textRotation="0" wrapText="0" indent="0" justifyLastLine="0" shrinkToFit="0" readingOrder="0"/>
    </dxf>
    <dxf>
      <font>
        <strike val="0"/>
        <outline val="0"/>
        <shadow val="0"/>
        <u val="none"/>
        <vertAlign val="baseline"/>
        <sz val="11"/>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justify" vertical="top"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justify" vertical="top" textRotation="0" wrapText="0" indent="0" justifyLastLine="0" shrinkToFit="0" readingOrder="0"/>
    </dxf>
    <dxf>
      <font>
        <strike val="0"/>
        <outline val="0"/>
        <shadow val="0"/>
        <u val="none"/>
        <vertAlign val="baseline"/>
        <sz val="11"/>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justify" vertical="top" textRotation="0" wrapText="0" indent="0" justifyLastLine="0" shrinkToFit="0" readingOrder="0"/>
    </dxf>
    <dxf>
      <font>
        <b val="0"/>
        <i val="0"/>
        <strike val="0"/>
        <condense val="0"/>
        <extend val="0"/>
        <outline val="0"/>
        <shadow val="0"/>
        <u val="none"/>
        <vertAlign val="baseline"/>
        <sz val="9"/>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justify" vertical="top" textRotation="0" wrapText="0" indent="0" justifyLastLine="0" shrinkToFit="0" readingOrder="0"/>
    </dxf>
    <dxf>
      <font>
        <strike val="0"/>
        <outline val="0"/>
        <shadow val="0"/>
        <u val="none"/>
        <vertAlign val="baseline"/>
        <sz val="9"/>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justify" vertical="top" textRotation="0" wrapText="0" indent="0" justifyLastLine="0" shrinkToFit="0" readingOrder="0"/>
    </dxf>
    <dxf>
      <font>
        <strike val="0"/>
        <outline val="0"/>
        <shadow val="0"/>
        <u val="none"/>
        <vertAlign val="baseline"/>
        <sz val="11"/>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justify" vertical="top" textRotation="0" wrapText="0" indent="0" justifyLastLine="0" shrinkToFit="0" readingOrder="0"/>
    </dxf>
    <dxf>
      <font>
        <strike val="0"/>
        <outline val="0"/>
        <shadow val="0"/>
        <u val="none"/>
        <vertAlign val="baseline"/>
        <sz val="11"/>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justify" vertical="top" textRotation="0" wrapText="0" indent="0" justifyLastLine="0" shrinkToFit="0" readingOrder="0"/>
    </dxf>
    <dxf>
      <font>
        <strike val="0"/>
        <outline val="0"/>
        <shadow val="0"/>
        <u val="none"/>
        <vertAlign val="baseline"/>
        <sz val="11"/>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justify" vertical="top" textRotation="0" wrapText="0" indent="0" justifyLastLine="0" shrinkToFit="0" readingOrder="0"/>
    </dxf>
    <dxf>
      <font>
        <strike val="0"/>
        <outline val="0"/>
        <shadow val="0"/>
        <u val="none"/>
        <vertAlign val="baseline"/>
        <sz val="11"/>
        <color theme="1"/>
        <name val="Arial"/>
        <family val="2"/>
        <scheme val="none"/>
      </font>
      <fill>
        <patternFill patternType="none">
          <fgColor indexed="64"/>
          <bgColor theme="0"/>
        </patternFill>
      </fill>
      <alignment horizontal="justify"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rial"/>
        <family val="2"/>
        <scheme val="none"/>
      </font>
      <fill>
        <patternFill patternType="none">
          <fgColor indexed="64"/>
          <bgColor auto="1"/>
        </patternFill>
      </fill>
      <alignment horizontal="justify" vertical="top"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justify"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5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Generales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GEN!$C$2</c:f>
              <c:strCache>
                <c:ptCount val="1"/>
                <c:pt idx="0">
                  <c:v>Entregables</c:v>
                </c:pt>
              </c:strCache>
            </c:strRef>
          </c:tx>
          <c:spPr>
            <a:solidFill>
              <a:schemeClr val="accent1"/>
            </a:solidFill>
            <a:ln>
              <a:noFill/>
            </a:ln>
            <a:effectLst/>
            <a:sp3d/>
          </c:spPr>
          <c:invertIfNegative val="0"/>
          <c:val>
            <c:numRef>
              <c:f>GEN!$C$3:$C$12</c:f>
              <c:numCache>
                <c:formatCode>General</c:formatCode>
                <c:ptCount val="10"/>
                <c:pt idx="0">
                  <c:v>1</c:v>
                </c:pt>
                <c:pt idx="1">
                  <c:v>1</c:v>
                </c:pt>
                <c:pt idx="2">
                  <c:v>1</c:v>
                </c:pt>
                <c:pt idx="3">
                  <c:v>12</c:v>
                </c:pt>
                <c:pt idx="4">
                  <c:v>12</c:v>
                </c:pt>
                <c:pt idx="5">
                  <c:v>2</c:v>
                </c:pt>
                <c:pt idx="6">
                  <c:v>1</c:v>
                </c:pt>
                <c:pt idx="7">
                  <c:v>1</c:v>
                </c:pt>
                <c:pt idx="8">
                  <c:v>1</c:v>
                </c:pt>
                <c:pt idx="9">
                  <c:v>1</c:v>
                </c:pt>
              </c:numCache>
            </c:numRef>
          </c:val>
          <c:extLst>
            <c:ext xmlns:c16="http://schemas.microsoft.com/office/drawing/2014/chart" uri="{C3380CC4-5D6E-409C-BE32-E72D297353CC}">
              <c16:uniqueId val="{00000001-8E30-4E56-A417-61E40A7622E5}"/>
            </c:ext>
          </c:extLst>
        </c:ser>
        <c:ser>
          <c:idx val="1"/>
          <c:order val="1"/>
          <c:tx>
            <c:strRef>
              <c:f>GEN!$D$2</c:f>
              <c:strCache>
                <c:ptCount val="1"/>
                <c:pt idx="0">
                  <c:v>Resultado</c:v>
                </c:pt>
              </c:strCache>
            </c:strRef>
          </c:tx>
          <c:spPr>
            <a:solidFill>
              <a:schemeClr val="accent2"/>
            </a:solidFill>
            <a:ln>
              <a:noFill/>
            </a:ln>
            <a:effectLst/>
            <a:sp3d/>
          </c:spPr>
          <c:invertIfNegative val="0"/>
          <c:val>
            <c:numRef>
              <c:f>GEN!$D$3:$D$12</c:f>
              <c:numCache>
                <c:formatCode>General</c:formatCode>
                <c:ptCount val="10"/>
                <c:pt idx="0">
                  <c:v>1</c:v>
                </c:pt>
                <c:pt idx="1">
                  <c:v>1</c:v>
                </c:pt>
                <c:pt idx="2">
                  <c:v>1</c:v>
                </c:pt>
                <c:pt idx="3">
                  <c:v>7</c:v>
                </c:pt>
                <c:pt idx="4">
                  <c:v>3</c:v>
                </c:pt>
                <c:pt idx="5">
                  <c:v>2</c:v>
                </c:pt>
                <c:pt idx="6">
                  <c:v>1</c:v>
                </c:pt>
                <c:pt idx="7">
                  <c:v>1</c:v>
                </c:pt>
                <c:pt idx="8">
                  <c:v>1</c:v>
                </c:pt>
                <c:pt idx="9">
                  <c:v>1</c:v>
                </c:pt>
              </c:numCache>
            </c:numRef>
          </c:val>
          <c:extLst>
            <c:ext xmlns:c16="http://schemas.microsoft.com/office/drawing/2014/chart" uri="{C3380CC4-5D6E-409C-BE32-E72D297353CC}">
              <c16:uniqueId val="{00000002-8E30-4E56-A417-61E40A7622E5}"/>
            </c:ext>
          </c:extLst>
        </c:ser>
        <c:dLbls>
          <c:showLegendKey val="0"/>
          <c:showVal val="0"/>
          <c:showCatName val="0"/>
          <c:showSerName val="0"/>
          <c:showPercent val="0"/>
          <c:showBubbleSize val="0"/>
        </c:dLbls>
        <c:gapWidth val="150"/>
        <c:shape val="box"/>
        <c:axId val="1466735711"/>
        <c:axId val="1466740287"/>
        <c:axId val="0"/>
      </c:bar3DChart>
      <c:catAx>
        <c:axId val="146673571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66740287"/>
        <c:crosses val="autoZero"/>
        <c:auto val="1"/>
        <c:lblAlgn val="ctr"/>
        <c:lblOffset val="100"/>
        <c:noMultiLvlLbl val="0"/>
      </c:catAx>
      <c:valAx>
        <c:axId val="146674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66735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Medio</a:t>
            </a:r>
            <a:r>
              <a:rPr lang="es-CL" baseline="0"/>
              <a:t> Humano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MEDHU!$C$2</c:f>
              <c:strCache>
                <c:ptCount val="1"/>
                <c:pt idx="0">
                  <c:v>Entregables</c:v>
                </c:pt>
              </c:strCache>
            </c:strRef>
          </c:tx>
          <c:spPr>
            <a:solidFill>
              <a:schemeClr val="accent1"/>
            </a:solidFill>
            <a:ln>
              <a:noFill/>
            </a:ln>
            <a:effectLst/>
            <a:sp3d/>
          </c:spPr>
          <c:invertIfNegative val="0"/>
          <c:val>
            <c:numRef>
              <c:f>MEDHU!$C$3:$C$10</c:f>
              <c:numCache>
                <c:formatCode>General</c:formatCode>
                <c:ptCount val="8"/>
                <c:pt idx="0">
                  <c:v>5</c:v>
                </c:pt>
                <c:pt idx="1">
                  <c:v>5</c:v>
                </c:pt>
                <c:pt idx="2">
                  <c:v>5</c:v>
                </c:pt>
                <c:pt idx="3">
                  <c:v>48</c:v>
                </c:pt>
                <c:pt idx="4">
                  <c:v>1</c:v>
                </c:pt>
                <c:pt idx="5">
                  <c:v>1</c:v>
                </c:pt>
                <c:pt idx="6">
                  <c:v>12</c:v>
                </c:pt>
                <c:pt idx="7">
                  <c:v>12</c:v>
                </c:pt>
              </c:numCache>
            </c:numRef>
          </c:val>
          <c:extLst>
            <c:ext xmlns:c16="http://schemas.microsoft.com/office/drawing/2014/chart" uri="{C3380CC4-5D6E-409C-BE32-E72D297353CC}">
              <c16:uniqueId val="{00000000-C246-4847-B3EF-999905E720A7}"/>
            </c:ext>
          </c:extLst>
        </c:ser>
        <c:ser>
          <c:idx val="1"/>
          <c:order val="1"/>
          <c:tx>
            <c:strRef>
              <c:f>MEDHU!$D$2</c:f>
              <c:strCache>
                <c:ptCount val="1"/>
                <c:pt idx="0">
                  <c:v>Resultado</c:v>
                </c:pt>
              </c:strCache>
            </c:strRef>
          </c:tx>
          <c:spPr>
            <a:solidFill>
              <a:schemeClr val="accent2"/>
            </a:solidFill>
            <a:ln>
              <a:noFill/>
            </a:ln>
            <a:effectLst/>
            <a:sp3d/>
          </c:spPr>
          <c:invertIfNegative val="0"/>
          <c:val>
            <c:numRef>
              <c:f>MEDHU!$D$3:$D$10</c:f>
              <c:numCache>
                <c:formatCode>General</c:formatCode>
                <c:ptCount val="8"/>
                <c:pt idx="0">
                  <c:v>3</c:v>
                </c:pt>
                <c:pt idx="1">
                  <c:v>4</c:v>
                </c:pt>
                <c:pt idx="2">
                  <c:v>2</c:v>
                </c:pt>
                <c:pt idx="3">
                  <c:v>34</c:v>
                </c:pt>
                <c:pt idx="4">
                  <c:v>1</c:v>
                </c:pt>
                <c:pt idx="5">
                  <c:v>1</c:v>
                </c:pt>
                <c:pt idx="6">
                  <c:v>12</c:v>
                </c:pt>
                <c:pt idx="7">
                  <c:v>12</c:v>
                </c:pt>
              </c:numCache>
            </c:numRef>
          </c:val>
          <c:extLst>
            <c:ext xmlns:c16="http://schemas.microsoft.com/office/drawing/2014/chart" uri="{C3380CC4-5D6E-409C-BE32-E72D297353CC}">
              <c16:uniqueId val="{00000001-C246-4847-B3EF-999905E720A7}"/>
            </c:ext>
          </c:extLst>
        </c:ser>
        <c:dLbls>
          <c:showLegendKey val="0"/>
          <c:showVal val="0"/>
          <c:showCatName val="0"/>
          <c:showSerName val="0"/>
          <c:showPercent val="0"/>
          <c:showBubbleSize val="0"/>
        </c:dLbls>
        <c:gapWidth val="150"/>
        <c:shape val="box"/>
        <c:axId val="1466741951"/>
        <c:axId val="1466745695"/>
        <c:axId val="0"/>
      </c:bar3DChart>
      <c:catAx>
        <c:axId val="146674195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66745695"/>
        <c:crosses val="autoZero"/>
        <c:auto val="1"/>
        <c:lblAlgn val="ctr"/>
        <c:lblOffset val="100"/>
        <c:noMultiLvlLbl val="0"/>
      </c:catAx>
      <c:valAx>
        <c:axId val="146674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66741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Arqueologia</a:t>
            </a:r>
            <a:r>
              <a:rPr lang="es-CL" baseline="0"/>
              <a:t> </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ARQ!$C$3</c:f>
              <c:strCache>
                <c:ptCount val="1"/>
                <c:pt idx="0">
                  <c:v>Entregables</c:v>
                </c:pt>
              </c:strCache>
            </c:strRef>
          </c:tx>
          <c:spPr>
            <a:solidFill>
              <a:schemeClr val="accent1"/>
            </a:solidFill>
            <a:ln>
              <a:noFill/>
            </a:ln>
            <a:effectLst/>
            <a:sp3d/>
          </c:spPr>
          <c:invertIfNegative val="0"/>
          <c:val>
            <c:numRef>
              <c:f>ARQ!$C$4:$C$8</c:f>
              <c:numCache>
                <c:formatCode>General</c:formatCode>
                <c:ptCount val="5"/>
                <c:pt idx="0">
                  <c:v>1</c:v>
                </c:pt>
                <c:pt idx="1">
                  <c:v>12</c:v>
                </c:pt>
                <c:pt idx="2">
                  <c:v>1</c:v>
                </c:pt>
                <c:pt idx="3">
                  <c:v>12</c:v>
                </c:pt>
                <c:pt idx="4">
                  <c:v>12</c:v>
                </c:pt>
              </c:numCache>
            </c:numRef>
          </c:val>
          <c:extLst>
            <c:ext xmlns:c16="http://schemas.microsoft.com/office/drawing/2014/chart" uri="{C3380CC4-5D6E-409C-BE32-E72D297353CC}">
              <c16:uniqueId val="{00000002-4569-4E7D-B6EE-B21EDDEC19BA}"/>
            </c:ext>
          </c:extLst>
        </c:ser>
        <c:ser>
          <c:idx val="1"/>
          <c:order val="1"/>
          <c:tx>
            <c:strRef>
              <c:f>ARQ!$D$3</c:f>
              <c:strCache>
                <c:ptCount val="1"/>
                <c:pt idx="0">
                  <c:v>Resultado</c:v>
                </c:pt>
              </c:strCache>
            </c:strRef>
          </c:tx>
          <c:spPr>
            <a:solidFill>
              <a:schemeClr val="accent2"/>
            </a:solidFill>
            <a:ln>
              <a:noFill/>
            </a:ln>
            <a:effectLst/>
            <a:sp3d/>
          </c:spPr>
          <c:invertIfNegative val="0"/>
          <c:val>
            <c:numRef>
              <c:f>ARQ!$D$4:$D$8</c:f>
              <c:numCache>
                <c:formatCode>General</c:formatCode>
                <c:ptCount val="5"/>
                <c:pt idx="0">
                  <c:v>1</c:v>
                </c:pt>
                <c:pt idx="1">
                  <c:v>11</c:v>
                </c:pt>
                <c:pt idx="2">
                  <c:v>1</c:v>
                </c:pt>
                <c:pt idx="3">
                  <c:v>7</c:v>
                </c:pt>
                <c:pt idx="4">
                  <c:v>8</c:v>
                </c:pt>
              </c:numCache>
            </c:numRef>
          </c:val>
          <c:extLst>
            <c:ext xmlns:c16="http://schemas.microsoft.com/office/drawing/2014/chart" uri="{C3380CC4-5D6E-409C-BE32-E72D297353CC}">
              <c16:uniqueId val="{00000003-4569-4E7D-B6EE-B21EDDEC19BA}"/>
            </c:ext>
          </c:extLst>
        </c:ser>
        <c:dLbls>
          <c:showLegendKey val="0"/>
          <c:showVal val="0"/>
          <c:showCatName val="0"/>
          <c:showSerName val="0"/>
          <c:showPercent val="0"/>
          <c:showBubbleSize val="0"/>
        </c:dLbls>
        <c:gapWidth val="150"/>
        <c:shape val="box"/>
        <c:axId val="959049008"/>
        <c:axId val="541957840"/>
        <c:axId val="0"/>
      </c:bar3DChart>
      <c:catAx>
        <c:axId val="9590490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41957840"/>
        <c:crosses val="autoZero"/>
        <c:auto val="1"/>
        <c:lblAlgn val="ctr"/>
        <c:lblOffset val="100"/>
        <c:noMultiLvlLbl val="0"/>
      </c:catAx>
      <c:valAx>
        <c:axId val="54195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9049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Sustancias</a:t>
            </a:r>
            <a:r>
              <a:rPr lang="es-CL" baseline="0"/>
              <a:t> Peligrosas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SUSPEL!$C$3</c:f>
              <c:strCache>
                <c:ptCount val="1"/>
                <c:pt idx="0">
                  <c:v>Entregables</c:v>
                </c:pt>
              </c:strCache>
            </c:strRef>
          </c:tx>
          <c:spPr>
            <a:solidFill>
              <a:schemeClr val="accent1"/>
            </a:solidFill>
            <a:ln>
              <a:noFill/>
            </a:ln>
            <a:effectLst/>
            <a:sp3d/>
          </c:spPr>
          <c:invertIfNegative val="0"/>
          <c:val>
            <c:numRef>
              <c:f>SUSPEL!$C$4:$C$9</c:f>
              <c:numCache>
                <c:formatCode>General</c:formatCode>
                <c:ptCount val="6"/>
                <c:pt idx="0">
                  <c:v>5</c:v>
                </c:pt>
                <c:pt idx="1">
                  <c:v>12</c:v>
                </c:pt>
                <c:pt idx="2">
                  <c:v>12</c:v>
                </c:pt>
                <c:pt idx="3">
                  <c:v>1</c:v>
                </c:pt>
                <c:pt idx="4">
                  <c:v>1</c:v>
                </c:pt>
                <c:pt idx="5">
                  <c:v>4</c:v>
                </c:pt>
              </c:numCache>
            </c:numRef>
          </c:val>
          <c:extLst>
            <c:ext xmlns:c16="http://schemas.microsoft.com/office/drawing/2014/chart" uri="{C3380CC4-5D6E-409C-BE32-E72D297353CC}">
              <c16:uniqueId val="{00000000-1C6E-49FA-AAE0-61530B26091F}"/>
            </c:ext>
          </c:extLst>
        </c:ser>
        <c:ser>
          <c:idx val="1"/>
          <c:order val="1"/>
          <c:tx>
            <c:strRef>
              <c:f>SUSPEL!$D$3</c:f>
              <c:strCache>
                <c:ptCount val="1"/>
                <c:pt idx="0">
                  <c:v>Resultado</c:v>
                </c:pt>
              </c:strCache>
            </c:strRef>
          </c:tx>
          <c:spPr>
            <a:solidFill>
              <a:schemeClr val="accent2"/>
            </a:solidFill>
            <a:ln>
              <a:noFill/>
            </a:ln>
            <a:effectLst/>
            <a:sp3d/>
          </c:spPr>
          <c:invertIfNegative val="0"/>
          <c:val>
            <c:numRef>
              <c:f>SUSPEL!$D$4:$D$9</c:f>
              <c:numCache>
                <c:formatCode>General</c:formatCode>
                <c:ptCount val="6"/>
                <c:pt idx="0">
                  <c:v>5</c:v>
                </c:pt>
                <c:pt idx="1">
                  <c:v>12</c:v>
                </c:pt>
                <c:pt idx="2">
                  <c:v>12</c:v>
                </c:pt>
                <c:pt idx="3">
                  <c:v>1</c:v>
                </c:pt>
                <c:pt idx="4">
                  <c:v>1</c:v>
                </c:pt>
                <c:pt idx="5">
                  <c:v>3</c:v>
                </c:pt>
              </c:numCache>
            </c:numRef>
          </c:val>
          <c:extLst>
            <c:ext xmlns:c16="http://schemas.microsoft.com/office/drawing/2014/chart" uri="{C3380CC4-5D6E-409C-BE32-E72D297353CC}">
              <c16:uniqueId val="{00000001-1C6E-49FA-AAE0-61530B26091F}"/>
            </c:ext>
          </c:extLst>
        </c:ser>
        <c:dLbls>
          <c:showLegendKey val="0"/>
          <c:showVal val="0"/>
          <c:showCatName val="0"/>
          <c:showSerName val="0"/>
          <c:showPercent val="0"/>
          <c:showBubbleSize val="0"/>
        </c:dLbls>
        <c:gapWidth val="150"/>
        <c:shape val="box"/>
        <c:axId val="963196944"/>
        <c:axId val="963196112"/>
        <c:axId val="0"/>
      </c:bar3DChart>
      <c:catAx>
        <c:axId val="9631969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63196112"/>
        <c:crosses val="autoZero"/>
        <c:auto val="1"/>
        <c:lblAlgn val="ctr"/>
        <c:lblOffset val="100"/>
        <c:noMultiLvlLbl val="0"/>
      </c:catAx>
      <c:valAx>
        <c:axId val="96319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6319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Medio</a:t>
            </a:r>
            <a:r>
              <a:rPr lang="es-CL" baseline="0"/>
              <a:t> Marino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136482939632549E-2"/>
          <c:y val="7.407407407407407E-2"/>
          <c:w val="0.90286351706036749"/>
          <c:h val="0.8416746864975212"/>
        </c:manualLayout>
      </c:layout>
      <c:bar3DChart>
        <c:barDir val="col"/>
        <c:grouping val="clustered"/>
        <c:varyColors val="0"/>
        <c:ser>
          <c:idx val="0"/>
          <c:order val="0"/>
          <c:tx>
            <c:strRef>
              <c:f>'Medio Marino'!$C$2</c:f>
              <c:strCache>
                <c:ptCount val="1"/>
                <c:pt idx="0">
                  <c:v>Unidades</c:v>
                </c:pt>
              </c:strCache>
            </c:strRef>
          </c:tx>
          <c:spPr>
            <a:solidFill>
              <a:schemeClr val="accent1"/>
            </a:solidFill>
            <a:ln>
              <a:noFill/>
            </a:ln>
            <a:effectLst/>
            <a:sp3d/>
          </c:spPr>
          <c:invertIfNegative val="0"/>
          <c:val>
            <c:numRef>
              <c:f>'Medio Marino'!$C$3:$C$17</c:f>
              <c:numCache>
                <c:formatCode>General</c:formatCode>
                <c:ptCount val="15"/>
                <c:pt idx="0">
                  <c:v>5</c:v>
                </c:pt>
                <c:pt idx="1">
                  <c:v>5</c:v>
                </c:pt>
                <c:pt idx="2">
                  <c:v>20</c:v>
                </c:pt>
                <c:pt idx="3">
                  <c:v>20</c:v>
                </c:pt>
                <c:pt idx="4">
                  <c:v>20</c:v>
                </c:pt>
                <c:pt idx="5">
                  <c:v>20</c:v>
                </c:pt>
                <c:pt idx="6">
                  <c:v>20</c:v>
                </c:pt>
                <c:pt idx="7">
                  <c:v>20</c:v>
                </c:pt>
                <c:pt idx="8">
                  <c:v>20</c:v>
                </c:pt>
                <c:pt idx="9">
                  <c:v>20</c:v>
                </c:pt>
                <c:pt idx="10">
                  <c:v>1</c:v>
                </c:pt>
                <c:pt idx="11">
                  <c:v>1</c:v>
                </c:pt>
                <c:pt idx="12">
                  <c:v>1</c:v>
                </c:pt>
                <c:pt idx="13">
                  <c:v>1</c:v>
                </c:pt>
                <c:pt idx="14">
                  <c:v>1</c:v>
                </c:pt>
              </c:numCache>
            </c:numRef>
          </c:val>
          <c:extLst>
            <c:ext xmlns:c16="http://schemas.microsoft.com/office/drawing/2014/chart" uri="{C3380CC4-5D6E-409C-BE32-E72D297353CC}">
              <c16:uniqueId val="{00000000-2BC4-4B09-8813-50CC02FAF497}"/>
            </c:ext>
          </c:extLst>
        </c:ser>
        <c:ser>
          <c:idx val="1"/>
          <c:order val="1"/>
          <c:tx>
            <c:strRef>
              <c:f>'Medio Marino'!$D$2</c:f>
              <c:strCache>
                <c:ptCount val="1"/>
                <c:pt idx="0">
                  <c:v>Resultado</c:v>
                </c:pt>
              </c:strCache>
            </c:strRef>
          </c:tx>
          <c:spPr>
            <a:solidFill>
              <a:schemeClr val="accent2"/>
            </a:solidFill>
            <a:ln>
              <a:noFill/>
            </a:ln>
            <a:effectLst/>
            <a:sp3d/>
          </c:spPr>
          <c:invertIfNegative val="0"/>
          <c:val>
            <c:numRef>
              <c:f>'Medio Marino'!$D$3:$D$17</c:f>
              <c:numCache>
                <c:formatCode>General</c:formatCode>
                <c:ptCount val="15"/>
                <c:pt idx="0">
                  <c:v>5</c:v>
                </c:pt>
                <c:pt idx="1">
                  <c:v>5</c:v>
                </c:pt>
                <c:pt idx="2">
                  <c:v>20</c:v>
                </c:pt>
                <c:pt idx="3">
                  <c:v>20</c:v>
                </c:pt>
                <c:pt idx="4">
                  <c:v>20</c:v>
                </c:pt>
                <c:pt idx="5">
                  <c:v>20</c:v>
                </c:pt>
                <c:pt idx="6">
                  <c:v>20</c:v>
                </c:pt>
                <c:pt idx="7">
                  <c:v>20</c:v>
                </c:pt>
                <c:pt idx="8">
                  <c:v>20</c:v>
                </c:pt>
                <c:pt idx="9">
                  <c:v>20</c:v>
                </c:pt>
                <c:pt idx="10">
                  <c:v>1</c:v>
                </c:pt>
                <c:pt idx="11">
                  <c:v>1</c:v>
                </c:pt>
                <c:pt idx="12">
                  <c:v>1</c:v>
                </c:pt>
                <c:pt idx="13">
                  <c:v>1</c:v>
                </c:pt>
                <c:pt idx="14">
                  <c:v>1</c:v>
                </c:pt>
              </c:numCache>
            </c:numRef>
          </c:val>
          <c:extLst>
            <c:ext xmlns:c16="http://schemas.microsoft.com/office/drawing/2014/chart" uri="{C3380CC4-5D6E-409C-BE32-E72D297353CC}">
              <c16:uniqueId val="{00000001-2BC4-4B09-8813-50CC02FAF497}"/>
            </c:ext>
          </c:extLst>
        </c:ser>
        <c:dLbls>
          <c:showLegendKey val="0"/>
          <c:showVal val="0"/>
          <c:showCatName val="0"/>
          <c:showSerName val="0"/>
          <c:showPercent val="0"/>
          <c:showBubbleSize val="0"/>
        </c:dLbls>
        <c:gapWidth val="150"/>
        <c:shape val="box"/>
        <c:axId val="839700528"/>
        <c:axId val="839700944"/>
        <c:axId val="0"/>
        <c:extLst>
          <c:ext xmlns:c15="http://schemas.microsoft.com/office/drawing/2012/chart" uri="{02D57815-91ED-43cb-92C2-25804820EDAC}">
            <c15:filteredBarSeries>
              <c15:ser>
                <c:idx val="2"/>
                <c:order val="2"/>
                <c:tx>
                  <c:strRef>
                    <c:extLst>
                      <c:ext uri="{02D57815-91ED-43cb-92C2-25804820EDAC}">
                        <c15:formulaRef>
                          <c15:sqref>'Medio Marino'!$D$2</c15:sqref>
                        </c15:formulaRef>
                      </c:ext>
                    </c:extLst>
                    <c:strCache>
                      <c:ptCount val="1"/>
                      <c:pt idx="0">
                        <c:v>Resultado</c:v>
                      </c:pt>
                    </c:strCache>
                  </c:strRef>
                </c:tx>
                <c:spPr>
                  <a:solidFill>
                    <a:schemeClr val="accent3"/>
                  </a:solidFill>
                  <a:ln>
                    <a:noFill/>
                  </a:ln>
                  <a:effectLst/>
                  <a:sp3d/>
                </c:spPr>
                <c:invertIfNegative val="0"/>
                <c:val>
                  <c:numRef>
                    <c:extLst>
                      <c:ext uri="{02D57815-91ED-43cb-92C2-25804820EDAC}">
                        <c15:formulaRef>
                          <c15:sqref>'Medio Marino'!$D$3:$D$17</c15:sqref>
                        </c15:formulaRef>
                      </c:ext>
                    </c:extLst>
                    <c:numCache>
                      <c:formatCode>General</c:formatCode>
                      <c:ptCount val="15"/>
                      <c:pt idx="0">
                        <c:v>5</c:v>
                      </c:pt>
                      <c:pt idx="1">
                        <c:v>5</c:v>
                      </c:pt>
                      <c:pt idx="2">
                        <c:v>20</c:v>
                      </c:pt>
                      <c:pt idx="3">
                        <c:v>20</c:v>
                      </c:pt>
                      <c:pt idx="4">
                        <c:v>20</c:v>
                      </c:pt>
                      <c:pt idx="5">
                        <c:v>20</c:v>
                      </c:pt>
                      <c:pt idx="6">
                        <c:v>20</c:v>
                      </c:pt>
                      <c:pt idx="7">
                        <c:v>20</c:v>
                      </c:pt>
                      <c:pt idx="8">
                        <c:v>20</c:v>
                      </c:pt>
                      <c:pt idx="9">
                        <c:v>20</c:v>
                      </c:pt>
                      <c:pt idx="10">
                        <c:v>1</c:v>
                      </c:pt>
                      <c:pt idx="11">
                        <c:v>1</c:v>
                      </c:pt>
                      <c:pt idx="12">
                        <c:v>1</c:v>
                      </c:pt>
                      <c:pt idx="13">
                        <c:v>1</c:v>
                      </c:pt>
                      <c:pt idx="14">
                        <c:v>1</c:v>
                      </c:pt>
                    </c:numCache>
                  </c:numRef>
                </c:val>
                <c:extLst>
                  <c:ext xmlns:c16="http://schemas.microsoft.com/office/drawing/2014/chart" uri="{C3380CC4-5D6E-409C-BE32-E72D297353CC}">
                    <c16:uniqueId val="{00000003-2BC4-4B09-8813-50CC02FAF497}"/>
                  </c:ext>
                </c:extLst>
              </c15:ser>
            </c15:filteredBarSeries>
          </c:ext>
        </c:extLst>
      </c:bar3DChart>
      <c:catAx>
        <c:axId val="83970052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839700944"/>
        <c:crosses val="autoZero"/>
        <c:auto val="1"/>
        <c:lblAlgn val="ctr"/>
        <c:lblOffset val="100"/>
        <c:noMultiLvlLbl val="0"/>
      </c:catAx>
      <c:valAx>
        <c:axId val="83970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839700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Residuos</a:t>
            </a:r>
            <a:r>
              <a:rPr lang="es-CL" baseline="0"/>
              <a:t> Liquidos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RESLIQ!$C$2</c:f>
              <c:strCache>
                <c:ptCount val="1"/>
                <c:pt idx="0">
                  <c:v>Entregables</c:v>
                </c:pt>
              </c:strCache>
            </c:strRef>
          </c:tx>
          <c:spPr>
            <a:solidFill>
              <a:schemeClr val="accent1"/>
            </a:solidFill>
            <a:ln>
              <a:noFill/>
            </a:ln>
            <a:effectLst/>
            <a:sp3d/>
          </c:spPr>
          <c:invertIfNegative val="0"/>
          <c:val>
            <c:numRef>
              <c:f>RESLIQ!$C$3:$C$6</c:f>
              <c:numCache>
                <c:formatCode>General</c:formatCode>
                <c:ptCount val="4"/>
                <c:pt idx="0">
                  <c:v>1</c:v>
                </c:pt>
                <c:pt idx="1">
                  <c:v>1</c:v>
                </c:pt>
                <c:pt idx="2">
                  <c:v>1</c:v>
                </c:pt>
                <c:pt idx="3">
                  <c:v>12</c:v>
                </c:pt>
              </c:numCache>
            </c:numRef>
          </c:val>
          <c:extLst>
            <c:ext xmlns:c16="http://schemas.microsoft.com/office/drawing/2014/chart" uri="{C3380CC4-5D6E-409C-BE32-E72D297353CC}">
              <c16:uniqueId val="{00000000-5082-4E2C-8C46-156304A2845F}"/>
            </c:ext>
          </c:extLst>
        </c:ser>
        <c:ser>
          <c:idx val="1"/>
          <c:order val="1"/>
          <c:tx>
            <c:strRef>
              <c:f>RESLIQ!$D$2</c:f>
              <c:strCache>
                <c:ptCount val="1"/>
                <c:pt idx="0">
                  <c:v>Resultado</c:v>
                </c:pt>
              </c:strCache>
            </c:strRef>
          </c:tx>
          <c:spPr>
            <a:solidFill>
              <a:schemeClr val="accent2"/>
            </a:solidFill>
            <a:ln>
              <a:noFill/>
            </a:ln>
            <a:effectLst/>
            <a:sp3d/>
          </c:spPr>
          <c:invertIfNegative val="0"/>
          <c:val>
            <c:numRef>
              <c:f>RESLIQ!$D$3:$D$6</c:f>
              <c:numCache>
                <c:formatCode>General</c:formatCode>
                <c:ptCount val="4"/>
                <c:pt idx="0">
                  <c:v>1</c:v>
                </c:pt>
                <c:pt idx="1">
                  <c:v>1</c:v>
                </c:pt>
                <c:pt idx="2">
                  <c:v>0</c:v>
                </c:pt>
                <c:pt idx="3">
                  <c:v>9</c:v>
                </c:pt>
              </c:numCache>
            </c:numRef>
          </c:val>
          <c:extLst>
            <c:ext xmlns:c16="http://schemas.microsoft.com/office/drawing/2014/chart" uri="{C3380CC4-5D6E-409C-BE32-E72D297353CC}">
              <c16:uniqueId val="{00000001-5082-4E2C-8C46-156304A2845F}"/>
            </c:ext>
          </c:extLst>
        </c:ser>
        <c:dLbls>
          <c:showLegendKey val="0"/>
          <c:showVal val="0"/>
          <c:showCatName val="0"/>
          <c:showSerName val="0"/>
          <c:showPercent val="0"/>
          <c:showBubbleSize val="0"/>
        </c:dLbls>
        <c:gapWidth val="150"/>
        <c:shape val="box"/>
        <c:axId val="839689712"/>
        <c:axId val="839689296"/>
        <c:axId val="0"/>
        <c:extLst>
          <c:ext xmlns:c15="http://schemas.microsoft.com/office/drawing/2012/chart" uri="{02D57815-91ED-43cb-92C2-25804820EDAC}">
            <c15:filteredBarSeries>
              <c15:ser>
                <c:idx val="2"/>
                <c:order val="2"/>
                <c:tx>
                  <c:strRef>
                    <c:extLst>
                      <c:ext uri="{02D57815-91ED-43cb-92C2-25804820EDAC}">
                        <c15:formulaRef>
                          <c15:sqref>RESLIQ!$D$2</c15:sqref>
                        </c15:formulaRef>
                      </c:ext>
                    </c:extLst>
                    <c:strCache>
                      <c:ptCount val="1"/>
                      <c:pt idx="0">
                        <c:v>Resultado</c:v>
                      </c:pt>
                    </c:strCache>
                  </c:strRef>
                </c:tx>
                <c:spPr>
                  <a:solidFill>
                    <a:schemeClr val="accent3"/>
                  </a:solidFill>
                  <a:ln>
                    <a:noFill/>
                  </a:ln>
                  <a:effectLst/>
                  <a:sp3d/>
                </c:spPr>
                <c:invertIfNegative val="0"/>
                <c:val>
                  <c:numRef>
                    <c:extLst>
                      <c:ext uri="{02D57815-91ED-43cb-92C2-25804820EDAC}">
                        <c15:formulaRef>
                          <c15:sqref>RESLIQ!$D$3:$D$6</c15:sqref>
                        </c15:formulaRef>
                      </c:ext>
                    </c:extLst>
                    <c:numCache>
                      <c:formatCode>General</c:formatCode>
                      <c:ptCount val="4"/>
                      <c:pt idx="0">
                        <c:v>1</c:v>
                      </c:pt>
                      <c:pt idx="1">
                        <c:v>1</c:v>
                      </c:pt>
                      <c:pt idx="2">
                        <c:v>0</c:v>
                      </c:pt>
                      <c:pt idx="3">
                        <c:v>9</c:v>
                      </c:pt>
                    </c:numCache>
                  </c:numRef>
                </c:val>
                <c:extLst>
                  <c:ext xmlns:c16="http://schemas.microsoft.com/office/drawing/2014/chart" uri="{C3380CC4-5D6E-409C-BE32-E72D297353CC}">
                    <c16:uniqueId val="{00000002-5082-4E2C-8C46-156304A2845F}"/>
                  </c:ext>
                </c:extLst>
              </c15:ser>
            </c15:filteredBarSeries>
          </c:ext>
        </c:extLst>
      </c:bar3DChart>
      <c:catAx>
        <c:axId val="8396897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839689296"/>
        <c:crosses val="autoZero"/>
        <c:auto val="1"/>
        <c:lblAlgn val="ctr"/>
        <c:lblOffset val="100"/>
        <c:noMultiLvlLbl val="0"/>
      </c:catAx>
      <c:valAx>
        <c:axId val="83968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83968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Ruido</a:t>
            </a:r>
            <a:r>
              <a:rPr lang="es-CL" baseline="0"/>
              <a:t> y Vibraciones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RYB!$C$2</c:f>
              <c:strCache>
                <c:ptCount val="1"/>
                <c:pt idx="0">
                  <c:v>Entregables</c:v>
                </c:pt>
              </c:strCache>
            </c:strRef>
          </c:tx>
          <c:spPr>
            <a:solidFill>
              <a:schemeClr val="accent1"/>
            </a:solidFill>
            <a:ln>
              <a:noFill/>
            </a:ln>
            <a:effectLst/>
            <a:sp3d/>
          </c:spPr>
          <c:invertIfNegative val="0"/>
          <c:val>
            <c:numRef>
              <c:f>RYB!$C$3:$C$13</c:f>
              <c:numCache>
                <c:formatCode>General</c:formatCode>
                <c:ptCount val="11"/>
                <c:pt idx="0">
                  <c:v>1</c:v>
                </c:pt>
                <c:pt idx="1">
                  <c:v>1</c:v>
                </c:pt>
                <c:pt idx="2">
                  <c:v>5</c:v>
                </c:pt>
                <c:pt idx="3">
                  <c:v>5</c:v>
                </c:pt>
                <c:pt idx="4">
                  <c:v>4</c:v>
                </c:pt>
                <c:pt idx="5">
                  <c:v>4</c:v>
                </c:pt>
                <c:pt idx="6">
                  <c:v>5</c:v>
                </c:pt>
                <c:pt idx="7">
                  <c:v>48</c:v>
                </c:pt>
                <c:pt idx="8">
                  <c:v>25</c:v>
                </c:pt>
                <c:pt idx="9">
                  <c:v>25</c:v>
                </c:pt>
                <c:pt idx="10">
                  <c:v>12</c:v>
                </c:pt>
              </c:numCache>
            </c:numRef>
          </c:val>
          <c:extLst>
            <c:ext xmlns:c16="http://schemas.microsoft.com/office/drawing/2014/chart" uri="{C3380CC4-5D6E-409C-BE32-E72D297353CC}">
              <c16:uniqueId val="{00000000-E689-41AE-862C-949EC7E95C62}"/>
            </c:ext>
          </c:extLst>
        </c:ser>
        <c:ser>
          <c:idx val="1"/>
          <c:order val="1"/>
          <c:tx>
            <c:strRef>
              <c:f>RYB!$D$2</c:f>
              <c:strCache>
                <c:ptCount val="1"/>
                <c:pt idx="0">
                  <c:v>Resultado</c:v>
                </c:pt>
              </c:strCache>
            </c:strRef>
          </c:tx>
          <c:spPr>
            <a:solidFill>
              <a:schemeClr val="accent2"/>
            </a:solidFill>
            <a:ln>
              <a:noFill/>
            </a:ln>
            <a:effectLst/>
            <a:sp3d/>
          </c:spPr>
          <c:invertIfNegative val="0"/>
          <c:val>
            <c:numRef>
              <c:f>RYB!$D$3:$D$13</c:f>
              <c:numCache>
                <c:formatCode>General</c:formatCode>
                <c:ptCount val="11"/>
                <c:pt idx="0">
                  <c:v>1</c:v>
                </c:pt>
                <c:pt idx="1">
                  <c:v>1</c:v>
                </c:pt>
                <c:pt idx="2">
                  <c:v>4</c:v>
                </c:pt>
                <c:pt idx="3">
                  <c:v>1</c:v>
                </c:pt>
                <c:pt idx="4">
                  <c:v>3</c:v>
                </c:pt>
                <c:pt idx="5">
                  <c:v>2</c:v>
                </c:pt>
                <c:pt idx="6">
                  <c:v>1</c:v>
                </c:pt>
                <c:pt idx="7">
                  <c:v>2</c:v>
                </c:pt>
                <c:pt idx="8">
                  <c:v>24</c:v>
                </c:pt>
                <c:pt idx="9">
                  <c:v>25</c:v>
                </c:pt>
                <c:pt idx="10">
                  <c:v>10</c:v>
                </c:pt>
              </c:numCache>
            </c:numRef>
          </c:val>
          <c:extLst>
            <c:ext xmlns:c16="http://schemas.microsoft.com/office/drawing/2014/chart" uri="{C3380CC4-5D6E-409C-BE32-E72D297353CC}">
              <c16:uniqueId val="{00000001-E689-41AE-862C-949EC7E95C62}"/>
            </c:ext>
          </c:extLst>
        </c:ser>
        <c:dLbls>
          <c:showLegendKey val="0"/>
          <c:showVal val="0"/>
          <c:showCatName val="0"/>
          <c:showSerName val="0"/>
          <c:showPercent val="0"/>
          <c:showBubbleSize val="0"/>
        </c:dLbls>
        <c:gapWidth val="150"/>
        <c:shape val="box"/>
        <c:axId val="783812432"/>
        <c:axId val="891860800"/>
        <c:axId val="0"/>
      </c:bar3DChart>
      <c:catAx>
        <c:axId val="78381243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891860800"/>
        <c:crosses val="autoZero"/>
        <c:auto val="1"/>
        <c:lblAlgn val="ctr"/>
        <c:lblOffset val="100"/>
        <c:noMultiLvlLbl val="0"/>
      </c:catAx>
      <c:valAx>
        <c:axId val="89186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8381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Residuos</a:t>
            </a:r>
            <a:r>
              <a:rPr lang="es-CL" baseline="0"/>
              <a:t> Solidos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RESOL!$C$2</c:f>
              <c:strCache>
                <c:ptCount val="1"/>
                <c:pt idx="0">
                  <c:v>Entregable</c:v>
                </c:pt>
              </c:strCache>
            </c:strRef>
          </c:tx>
          <c:spPr>
            <a:solidFill>
              <a:schemeClr val="accent1"/>
            </a:solidFill>
            <a:ln>
              <a:noFill/>
            </a:ln>
            <a:effectLst/>
            <a:sp3d/>
          </c:spPr>
          <c:invertIfNegative val="0"/>
          <c:val>
            <c:numRef>
              <c:f>RESOL!$C$3:$C$20</c:f>
              <c:numCache>
                <c:formatCode>General</c:formatCode>
                <c:ptCount val="18"/>
                <c:pt idx="0">
                  <c:v>12</c:v>
                </c:pt>
                <c:pt idx="1">
                  <c:v>12</c:v>
                </c:pt>
                <c:pt idx="2">
                  <c:v>12</c:v>
                </c:pt>
                <c:pt idx="3">
                  <c:v>1</c:v>
                </c:pt>
                <c:pt idx="4">
                  <c:v>5</c:v>
                </c:pt>
                <c:pt idx="5">
                  <c:v>12</c:v>
                </c:pt>
                <c:pt idx="6">
                  <c:v>48</c:v>
                </c:pt>
                <c:pt idx="7">
                  <c:v>48</c:v>
                </c:pt>
                <c:pt idx="8">
                  <c:v>12</c:v>
                </c:pt>
                <c:pt idx="9">
                  <c:v>12</c:v>
                </c:pt>
                <c:pt idx="10">
                  <c:v>12</c:v>
                </c:pt>
                <c:pt idx="11">
                  <c:v>1</c:v>
                </c:pt>
                <c:pt idx="12">
                  <c:v>1</c:v>
                </c:pt>
                <c:pt idx="13">
                  <c:v>1</c:v>
                </c:pt>
                <c:pt idx="14">
                  <c:v>1</c:v>
                </c:pt>
                <c:pt idx="15">
                  <c:v>12</c:v>
                </c:pt>
                <c:pt idx="16">
                  <c:v>12</c:v>
                </c:pt>
                <c:pt idx="17">
                  <c:v>1</c:v>
                </c:pt>
              </c:numCache>
            </c:numRef>
          </c:val>
          <c:extLst>
            <c:ext xmlns:c16="http://schemas.microsoft.com/office/drawing/2014/chart" uri="{C3380CC4-5D6E-409C-BE32-E72D297353CC}">
              <c16:uniqueId val="{00000000-9E4F-4ADE-B632-A023348EED3A}"/>
            </c:ext>
          </c:extLst>
        </c:ser>
        <c:ser>
          <c:idx val="1"/>
          <c:order val="1"/>
          <c:tx>
            <c:strRef>
              <c:f>RESOL!$D$2</c:f>
              <c:strCache>
                <c:ptCount val="1"/>
                <c:pt idx="0">
                  <c:v>Resultado</c:v>
                </c:pt>
              </c:strCache>
            </c:strRef>
          </c:tx>
          <c:spPr>
            <a:solidFill>
              <a:schemeClr val="accent2"/>
            </a:solidFill>
            <a:ln>
              <a:noFill/>
            </a:ln>
            <a:effectLst/>
            <a:sp3d/>
          </c:spPr>
          <c:invertIfNegative val="0"/>
          <c:val>
            <c:numRef>
              <c:f>RESOL!$D$3:$D$20</c:f>
              <c:numCache>
                <c:formatCode>General</c:formatCode>
                <c:ptCount val="18"/>
                <c:pt idx="0">
                  <c:v>3</c:v>
                </c:pt>
                <c:pt idx="1">
                  <c:v>2</c:v>
                </c:pt>
                <c:pt idx="2">
                  <c:v>1</c:v>
                </c:pt>
                <c:pt idx="3">
                  <c:v>3</c:v>
                </c:pt>
                <c:pt idx="4">
                  <c:v>2</c:v>
                </c:pt>
                <c:pt idx="5">
                  <c:v>1</c:v>
                </c:pt>
                <c:pt idx="6">
                  <c:v>3</c:v>
                </c:pt>
                <c:pt idx="7">
                  <c:v>2</c:v>
                </c:pt>
                <c:pt idx="8">
                  <c:v>1</c:v>
                </c:pt>
                <c:pt idx="9">
                  <c:v>3</c:v>
                </c:pt>
                <c:pt idx="10">
                  <c:v>3</c:v>
                </c:pt>
                <c:pt idx="11">
                  <c:v>3</c:v>
                </c:pt>
                <c:pt idx="12">
                  <c:v>4</c:v>
                </c:pt>
                <c:pt idx="13">
                  <c:v>4</c:v>
                </c:pt>
                <c:pt idx="14">
                  <c:v>2</c:v>
                </c:pt>
                <c:pt idx="15">
                  <c:v>11</c:v>
                </c:pt>
                <c:pt idx="16">
                  <c:v>6</c:v>
                </c:pt>
                <c:pt idx="17">
                  <c:v>1</c:v>
                </c:pt>
              </c:numCache>
            </c:numRef>
          </c:val>
          <c:extLst>
            <c:ext xmlns:c16="http://schemas.microsoft.com/office/drawing/2014/chart" uri="{C3380CC4-5D6E-409C-BE32-E72D297353CC}">
              <c16:uniqueId val="{00000001-9E4F-4ADE-B632-A023348EED3A}"/>
            </c:ext>
          </c:extLst>
        </c:ser>
        <c:dLbls>
          <c:showLegendKey val="0"/>
          <c:showVal val="0"/>
          <c:showCatName val="0"/>
          <c:showSerName val="0"/>
          <c:showPercent val="0"/>
          <c:showBubbleSize val="0"/>
        </c:dLbls>
        <c:gapWidth val="150"/>
        <c:shape val="box"/>
        <c:axId val="957446944"/>
        <c:axId val="957447776"/>
        <c:axId val="0"/>
      </c:bar3DChart>
      <c:catAx>
        <c:axId val="9574469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7447776"/>
        <c:crosses val="autoZero"/>
        <c:auto val="1"/>
        <c:lblAlgn val="ctr"/>
        <c:lblOffset val="100"/>
        <c:noMultiLvlLbl val="0"/>
      </c:catAx>
      <c:valAx>
        <c:axId val="95744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744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Componente</a:t>
            </a:r>
            <a:r>
              <a:rPr lang="es-CL" baseline="0"/>
              <a:t> Agua</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'Aguas '!$C$2</c:f>
              <c:strCache>
                <c:ptCount val="1"/>
                <c:pt idx="0">
                  <c:v>Entregables</c:v>
                </c:pt>
              </c:strCache>
            </c:strRef>
          </c:tx>
          <c:spPr>
            <a:solidFill>
              <a:schemeClr val="accent1"/>
            </a:solidFill>
            <a:ln>
              <a:noFill/>
            </a:ln>
            <a:effectLst/>
            <a:sp3d/>
          </c:spPr>
          <c:invertIfNegative val="0"/>
          <c:val>
            <c:numRef>
              <c:f>'Aguas '!$C$3:$C$6</c:f>
              <c:numCache>
                <c:formatCode>General</c:formatCode>
                <c:ptCount val="4"/>
                <c:pt idx="0">
                  <c:v>12</c:v>
                </c:pt>
                <c:pt idx="1">
                  <c:v>12</c:v>
                </c:pt>
                <c:pt idx="2">
                  <c:v>12</c:v>
                </c:pt>
                <c:pt idx="3">
                  <c:v>2</c:v>
                </c:pt>
              </c:numCache>
            </c:numRef>
          </c:val>
          <c:extLst>
            <c:ext xmlns:c16="http://schemas.microsoft.com/office/drawing/2014/chart" uri="{C3380CC4-5D6E-409C-BE32-E72D297353CC}">
              <c16:uniqueId val="{00000000-7E98-4AA0-AFA3-2E013C2D8E58}"/>
            </c:ext>
          </c:extLst>
        </c:ser>
        <c:ser>
          <c:idx val="1"/>
          <c:order val="1"/>
          <c:tx>
            <c:strRef>
              <c:f>'Aguas '!$D$2</c:f>
              <c:strCache>
                <c:ptCount val="1"/>
                <c:pt idx="0">
                  <c:v>Resultado</c:v>
                </c:pt>
              </c:strCache>
            </c:strRef>
          </c:tx>
          <c:spPr>
            <a:solidFill>
              <a:schemeClr val="accent2"/>
            </a:solidFill>
            <a:ln>
              <a:noFill/>
            </a:ln>
            <a:effectLst/>
            <a:sp3d/>
          </c:spPr>
          <c:invertIfNegative val="0"/>
          <c:val>
            <c:numRef>
              <c:f>'Aguas '!$D$3:$D$6</c:f>
              <c:numCache>
                <c:formatCode>General</c:formatCode>
                <c:ptCount val="4"/>
                <c:pt idx="0">
                  <c:v>11</c:v>
                </c:pt>
                <c:pt idx="1">
                  <c:v>4</c:v>
                </c:pt>
                <c:pt idx="2">
                  <c:v>11</c:v>
                </c:pt>
                <c:pt idx="3">
                  <c:v>2</c:v>
                </c:pt>
              </c:numCache>
            </c:numRef>
          </c:val>
          <c:extLst>
            <c:ext xmlns:c16="http://schemas.microsoft.com/office/drawing/2014/chart" uri="{C3380CC4-5D6E-409C-BE32-E72D297353CC}">
              <c16:uniqueId val="{00000003-7E98-4AA0-AFA3-2E013C2D8E58}"/>
            </c:ext>
          </c:extLst>
        </c:ser>
        <c:dLbls>
          <c:showLegendKey val="0"/>
          <c:showVal val="0"/>
          <c:showCatName val="0"/>
          <c:showSerName val="0"/>
          <c:showPercent val="0"/>
          <c:showBubbleSize val="0"/>
        </c:dLbls>
        <c:gapWidth val="150"/>
        <c:shape val="box"/>
        <c:axId val="900367376"/>
        <c:axId val="780857808"/>
        <c:axId val="0"/>
      </c:bar3DChart>
      <c:catAx>
        <c:axId val="9003673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80857808"/>
        <c:crosses val="autoZero"/>
        <c:auto val="1"/>
        <c:lblAlgn val="ctr"/>
        <c:lblOffset val="100"/>
        <c:noMultiLvlLbl val="0"/>
      </c:catAx>
      <c:valAx>
        <c:axId val="78085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00367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Componente</a:t>
            </a:r>
            <a:r>
              <a:rPr lang="es-CL" baseline="0"/>
              <a:t> Aire</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Aire!$C$2</c:f>
              <c:strCache>
                <c:ptCount val="1"/>
                <c:pt idx="0">
                  <c:v>Entregables</c:v>
                </c:pt>
              </c:strCache>
            </c:strRef>
          </c:tx>
          <c:spPr>
            <a:solidFill>
              <a:schemeClr val="accent1"/>
            </a:solidFill>
            <a:ln>
              <a:noFill/>
            </a:ln>
            <a:effectLst/>
            <a:sp3d/>
          </c:spPr>
          <c:invertIfNegative val="0"/>
          <c:val>
            <c:numRef>
              <c:f>Aire!$C$3:$C$11</c:f>
              <c:numCache>
                <c:formatCode>General</c:formatCode>
                <c:ptCount val="9"/>
                <c:pt idx="0">
                  <c:v>12</c:v>
                </c:pt>
                <c:pt idx="1">
                  <c:v>12</c:v>
                </c:pt>
                <c:pt idx="2">
                  <c:v>12</c:v>
                </c:pt>
                <c:pt idx="3">
                  <c:v>12</c:v>
                </c:pt>
                <c:pt idx="4">
                  <c:v>1</c:v>
                </c:pt>
                <c:pt idx="5">
                  <c:v>1</c:v>
                </c:pt>
                <c:pt idx="6">
                  <c:v>48</c:v>
                </c:pt>
                <c:pt idx="7">
                  <c:v>48</c:v>
                </c:pt>
                <c:pt idx="8">
                  <c:v>1</c:v>
                </c:pt>
              </c:numCache>
            </c:numRef>
          </c:val>
          <c:extLst>
            <c:ext xmlns:c16="http://schemas.microsoft.com/office/drawing/2014/chart" uri="{C3380CC4-5D6E-409C-BE32-E72D297353CC}">
              <c16:uniqueId val="{00000000-0FF9-4BA4-9945-AFE7E3D4FF71}"/>
            </c:ext>
          </c:extLst>
        </c:ser>
        <c:ser>
          <c:idx val="1"/>
          <c:order val="1"/>
          <c:tx>
            <c:strRef>
              <c:f>Aire!$D$2</c:f>
              <c:strCache>
                <c:ptCount val="1"/>
                <c:pt idx="0">
                  <c:v>Resultado</c:v>
                </c:pt>
              </c:strCache>
            </c:strRef>
          </c:tx>
          <c:spPr>
            <a:solidFill>
              <a:schemeClr val="accent2"/>
            </a:solidFill>
            <a:ln>
              <a:noFill/>
            </a:ln>
            <a:effectLst/>
            <a:sp3d/>
          </c:spPr>
          <c:invertIfNegative val="0"/>
          <c:val>
            <c:numRef>
              <c:f>Aire!$D$3:$D$11</c:f>
              <c:numCache>
                <c:formatCode>General</c:formatCode>
                <c:ptCount val="9"/>
                <c:pt idx="0">
                  <c:v>8</c:v>
                </c:pt>
                <c:pt idx="1">
                  <c:v>11</c:v>
                </c:pt>
                <c:pt idx="2">
                  <c:v>7</c:v>
                </c:pt>
                <c:pt idx="3">
                  <c:v>11</c:v>
                </c:pt>
                <c:pt idx="4">
                  <c:v>1</c:v>
                </c:pt>
                <c:pt idx="5">
                  <c:v>1</c:v>
                </c:pt>
                <c:pt idx="6">
                  <c:v>1</c:v>
                </c:pt>
                <c:pt idx="7">
                  <c:v>1</c:v>
                </c:pt>
                <c:pt idx="8">
                  <c:v>1</c:v>
                </c:pt>
              </c:numCache>
            </c:numRef>
          </c:val>
          <c:extLst>
            <c:ext xmlns:c16="http://schemas.microsoft.com/office/drawing/2014/chart" uri="{C3380CC4-5D6E-409C-BE32-E72D297353CC}">
              <c16:uniqueId val="{00000004-0FF9-4BA4-9945-AFE7E3D4FF71}"/>
            </c:ext>
          </c:extLst>
        </c:ser>
        <c:dLbls>
          <c:showLegendKey val="0"/>
          <c:showVal val="0"/>
          <c:showCatName val="0"/>
          <c:showSerName val="0"/>
          <c:showPercent val="0"/>
          <c:showBubbleSize val="0"/>
        </c:dLbls>
        <c:gapWidth val="150"/>
        <c:shape val="box"/>
        <c:axId val="785135328"/>
        <c:axId val="785138240"/>
        <c:axId val="0"/>
      </c:bar3DChart>
      <c:catAx>
        <c:axId val="78513532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85138240"/>
        <c:crosses val="autoZero"/>
        <c:auto val="1"/>
        <c:lblAlgn val="ctr"/>
        <c:lblOffset val="100"/>
        <c:noMultiLvlLbl val="0"/>
      </c:catAx>
      <c:valAx>
        <c:axId val="78513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78513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Compromisos</a:t>
            </a:r>
            <a:r>
              <a:rPr lang="es-CL" baseline="0"/>
              <a:t> Fauna</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Fauna!$C$3</c:f>
              <c:strCache>
                <c:ptCount val="1"/>
                <c:pt idx="0">
                  <c:v>Entregables</c:v>
                </c:pt>
              </c:strCache>
            </c:strRef>
          </c:tx>
          <c:spPr>
            <a:solidFill>
              <a:schemeClr val="accent2"/>
            </a:solidFill>
            <a:ln>
              <a:noFill/>
            </a:ln>
            <a:effectLst/>
            <a:sp3d/>
          </c:spPr>
          <c:invertIfNegative val="0"/>
          <c:cat>
            <c:strRef>
              <c:f>Fauna!$A$4:$A$10</c:f>
              <c:strCache>
                <c:ptCount val="7"/>
                <c:pt idx="0">
                  <c:v>Fauna 1</c:v>
                </c:pt>
                <c:pt idx="1">
                  <c:v>Fauna 2</c:v>
                </c:pt>
                <c:pt idx="2">
                  <c:v>Fauna 3</c:v>
                </c:pt>
                <c:pt idx="3">
                  <c:v>Fauna 4</c:v>
                </c:pt>
                <c:pt idx="4">
                  <c:v>Fauna 5</c:v>
                </c:pt>
                <c:pt idx="5">
                  <c:v>Fauna 6</c:v>
                </c:pt>
                <c:pt idx="6">
                  <c:v>Fauna 7</c:v>
                </c:pt>
              </c:strCache>
            </c:strRef>
          </c:cat>
          <c:val>
            <c:numRef>
              <c:f>Fauna!$C$4:$C$10</c:f>
              <c:numCache>
                <c:formatCode>General</c:formatCode>
                <c:ptCount val="7"/>
                <c:pt idx="0">
                  <c:v>5</c:v>
                </c:pt>
                <c:pt idx="1">
                  <c:v>5</c:v>
                </c:pt>
                <c:pt idx="2">
                  <c:v>5</c:v>
                </c:pt>
                <c:pt idx="3">
                  <c:v>1</c:v>
                </c:pt>
                <c:pt idx="4">
                  <c:v>1</c:v>
                </c:pt>
                <c:pt idx="5">
                  <c:v>1</c:v>
                </c:pt>
                <c:pt idx="6">
                  <c:v>1</c:v>
                </c:pt>
              </c:numCache>
            </c:numRef>
          </c:val>
          <c:extLst>
            <c:ext xmlns:c16="http://schemas.microsoft.com/office/drawing/2014/chart" uri="{C3380CC4-5D6E-409C-BE32-E72D297353CC}">
              <c16:uniqueId val="{00000001-5A63-4FCD-9D4C-0F0E6706FD44}"/>
            </c:ext>
          </c:extLst>
        </c:ser>
        <c:ser>
          <c:idx val="0"/>
          <c:order val="1"/>
          <c:tx>
            <c:strRef>
              <c:f>Fauna!$D$3</c:f>
              <c:strCache>
                <c:ptCount val="1"/>
                <c:pt idx="0">
                  <c:v>Resultado</c:v>
                </c:pt>
              </c:strCache>
            </c:strRef>
          </c:tx>
          <c:spPr>
            <a:solidFill>
              <a:schemeClr val="accent1"/>
            </a:solidFill>
            <a:ln>
              <a:noFill/>
            </a:ln>
            <a:effectLst/>
            <a:sp3d/>
          </c:spPr>
          <c:invertIfNegative val="0"/>
          <c:cat>
            <c:strRef>
              <c:f>Fauna!$A$4:$A$10</c:f>
              <c:strCache>
                <c:ptCount val="7"/>
                <c:pt idx="0">
                  <c:v>Fauna 1</c:v>
                </c:pt>
                <c:pt idx="1">
                  <c:v>Fauna 2</c:v>
                </c:pt>
                <c:pt idx="2">
                  <c:v>Fauna 3</c:v>
                </c:pt>
                <c:pt idx="3">
                  <c:v>Fauna 4</c:v>
                </c:pt>
                <c:pt idx="4">
                  <c:v>Fauna 5</c:v>
                </c:pt>
                <c:pt idx="5">
                  <c:v>Fauna 6</c:v>
                </c:pt>
                <c:pt idx="6">
                  <c:v>Fauna 7</c:v>
                </c:pt>
              </c:strCache>
            </c:strRef>
          </c:cat>
          <c:val>
            <c:numRef>
              <c:f>Fauna!$D$4:$D$10</c:f>
              <c:numCache>
                <c:formatCode>General</c:formatCode>
                <c:ptCount val="7"/>
                <c:pt idx="0">
                  <c:v>2</c:v>
                </c:pt>
                <c:pt idx="1">
                  <c:v>3</c:v>
                </c:pt>
                <c:pt idx="2">
                  <c:v>5</c:v>
                </c:pt>
                <c:pt idx="3">
                  <c:v>1</c:v>
                </c:pt>
                <c:pt idx="4">
                  <c:v>1</c:v>
                </c:pt>
                <c:pt idx="5">
                  <c:v>1</c:v>
                </c:pt>
                <c:pt idx="6">
                  <c:v>1</c:v>
                </c:pt>
              </c:numCache>
            </c:numRef>
          </c:val>
          <c:extLst>
            <c:ext xmlns:c16="http://schemas.microsoft.com/office/drawing/2014/chart" uri="{C3380CC4-5D6E-409C-BE32-E72D297353CC}">
              <c16:uniqueId val="{00000000-D110-4A95-A432-2C46B8E0275D}"/>
            </c:ext>
          </c:extLst>
        </c:ser>
        <c:dLbls>
          <c:showLegendKey val="0"/>
          <c:showVal val="0"/>
          <c:showCatName val="0"/>
          <c:showSerName val="0"/>
          <c:showPercent val="0"/>
          <c:showBubbleSize val="0"/>
        </c:dLbls>
        <c:gapWidth val="150"/>
        <c:shape val="box"/>
        <c:axId val="1315162655"/>
        <c:axId val="1315171807"/>
        <c:axId val="0"/>
      </c:bar3DChart>
      <c:catAx>
        <c:axId val="131516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315171807"/>
        <c:crosses val="autoZero"/>
        <c:auto val="0"/>
        <c:lblAlgn val="ctr"/>
        <c:lblOffset val="100"/>
        <c:noMultiLvlLbl val="0"/>
      </c:catAx>
      <c:valAx>
        <c:axId val="1315171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Unidades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315162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Compromisos</a:t>
            </a:r>
            <a:r>
              <a:rPr lang="es-CL" baseline="0"/>
              <a:t> Obras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Obras!$C$2</c:f>
              <c:strCache>
                <c:ptCount val="1"/>
                <c:pt idx="0">
                  <c:v>Entregables</c:v>
                </c:pt>
              </c:strCache>
            </c:strRef>
          </c:tx>
          <c:spPr>
            <a:solidFill>
              <a:schemeClr val="accent1"/>
            </a:solidFill>
            <a:ln>
              <a:noFill/>
            </a:ln>
            <a:effectLst/>
            <a:sp3d/>
          </c:spPr>
          <c:invertIfNegative val="0"/>
          <c:cat>
            <c:strRef>
              <c:f>Obras!$A$3:$A$10</c:f>
              <c:strCache>
                <c:ptCount val="8"/>
                <c:pt idx="0">
                  <c:v>Obras 1</c:v>
                </c:pt>
                <c:pt idx="1">
                  <c:v>Obras 2</c:v>
                </c:pt>
                <c:pt idx="2">
                  <c:v>Obras 3</c:v>
                </c:pt>
                <c:pt idx="3">
                  <c:v>Obras 4</c:v>
                </c:pt>
                <c:pt idx="4">
                  <c:v>Obras 5</c:v>
                </c:pt>
                <c:pt idx="5">
                  <c:v>Obras 6</c:v>
                </c:pt>
                <c:pt idx="6">
                  <c:v>Obras 7</c:v>
                </c:pt>
                <c:pt idx="7">
                  <c:v>Obras 8</c:v>
                </c:pt>
              </c:strCache>
            </c:strRef>
          </c:cat>
          <c:val>
            <c:numRef>
              <c:f>Obras!$C$3:$C$10</c:f>
              <c:numCache>
                <c:formatCode>General</c:formatCode>
                <c:ptCount val="8"/>
                <c:pt idx="0">
                  <c:v>1</c:v>
                </c:pt>
                <c:pt idx="1">
                  <c:v>3</c:v>
                </c:pt>
                <c:pt idx="2">
                  <c:v>3</c:v>
                </c:pt>
                <c:pt idx="3">
                  <c:v>48</c:v>
                </c:pt>
                <c:pt idx="4">
                  <c:v>2</c:v>
                </c:pt>
                <c:pt idx="5">
                  <c:v>1</c:v>
                </c:pt>
                <c:pt idx="6">
                  <c:v>12</c:v>
                </c:pt>
                <c:pt idx="7">
                  <c:v>12</c:v>
                </c:pt>
              </c:numCache>
            </c:numRef>
          </c:val>
          <c:extLst>
            <c:ext xmlns:c16="http://schemas.microsoft.com/office/drawing/2014/chart" uri="{C3380CC4-5D6E-409C-BE32-E72D297353CC}">
              <c16:uniqueId val="{00000000-E75B-4A75-B8AF-9E07FC88756F}"/>
            </c:ext>
          </c:extLst>
        </c:ser>
        <c:ser>
          <c:idx val="1"/>
          <c:order val="1"/>
          <c:tx>
            <c:strRef>
              <c:f>Obras!$D$2</c:f>
              <c:strCache>
                <c:ptCount val="1"/>
                <c:pt idx="0">
                  <c:v>Resultado</c:v>
                </c:pt>
              </c:strCache>
            </c:strRef>
          </c:tx>
          <c:spPr>
            <a:solidFill>
              <a:schemeClr val="accent2"/>
            </a:solidFill>
            <a:ln>
              <a:noFill/>
            </a:ln>
            <a:effectLst/>
            <a:sp3d/>
          </c:spPr>
          <c:invertIfNegative val="0"/>
          <c:cat>
            <c:strRef>
              <c:f>Obras!$A$3:$A$10</c:f>
              <c:strCache>
                <c:ptCount val="8"/>
                <c:pt idx="0">
                  <c:v>Obras 1</c:v>
                </c:pt>
                <c:pt idx="1">
                  <c:v>Obras 2</c:v>
                </c:pt>
                <c:pt idx="2">
                  <c:v>Obras 3</c:v>
                </c:pt>
                <c:pt idx="3">
                  <c:v>Obras 4</c:v>
                </c:pt>
                <c:pt idx="4">
                  <c:v>Obras 5</c:v>
                </c:pt>
                <c:pt idx="5">
                  <c:v>Obras 6</c:v>
                </c:pt>
                <c:pt idx="6">
                  <c:v>Obras 7</c:v>
                </c:pt>
                <c:pt idx="7">
                  <c:v>Obras 8</c:v>
                </c:pt>
              </c:strCache>
            </c:strRef>
          </c:cat>
          <c:val>
            <c:numRef>
              <c:f>Obras!$D$3:$D$10</c:f>
              <c:numCache>
                <c:formatCode>General</c:formatCode>
                <c:ptCount val="8"/>
                <c:pt idx="0">
                  <c:v>0</c:v>
                </c:pt>
                <c:pt idx="1">
                  <c:v>0</c:v>
                </c:pt>
                <c:pt idx="2">
                  <c:v>0</c:v>
                </c:pt>
                <c:pt idx="3">
                  <c:v>29</c:v>
                </c:pt>
                <c:pt idx="4">
                  <c:v>2</c:v>
                </c:pt>
                <c:pt idx="5">
                  <c:v>1</c:v>
                </c:pt>
                <c:pt idx="6">
                  <c:v>7</c:v>
                </c:pt>
                <c:pt idx="7">
                  <c:v>8</c:v>
                </c:pt>
              </c:numCache>
            </c:numRef>
          </c:val>
          <c:extLst>
            <c:ext xmlns:c16="http://schemas.microsoft.com/office/drawing/2014/chart" uri="{C3380CC4-5D6E-409C-BE32-E72D297353CC}">
              <c16:uniqueId val="{00000001-E75B-4A75-B8AF-9E07FC88756F}"/>
            </c:ext>
          </c:extLst>
        </c:ser>
        <c:dLbls>
          <c:showLegendKey val="0"/>
          <c:showVal val="0"/>
          <c:showCatName val="0"/>
          <c:showSerName val="0"/>
          <c:showPercent val="0"/>
          <c:showBubbleSize val="0"/>
        </c:dLbls>
        <c:gapWidth val="150"/>
        <c:shape val="box"/>
        <c:axId val="665566447"/>
        <c:axId val="665564783"/>
        <c:axId val="0"/>
      </c:bar3DChart>
      <c:catAx>
        <c:axId val="66556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65564783"/>
        <c:crosses val="autoZero"/>
        <c:auto val="1"/>
        <c:lblAlgn val="ctr"/>
        <c:lblOffset val="100"/>
        <c:noMultiLvlLbl val="0"/>
      </c:catAx>
      <c:valAx>
        <c:axId val="66556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665566447"/>
        <c:crosses val="autoZero"/>
        <c:crossBetween val="between"/>
        <c:majorUnit val="1"/>
        <c:minorUnit val="1"/>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13609</xdr:colOff>
      <xdr:row>1</xdr:row>
      <xdr:rowOff>13608</xdr:rowOff>
    </xdr:from>
    <xdr:to>
      <xdr:col>2</xdr:col>
      <xdr:colOff>1469572</xdr:colOff>
      <xdr:row>3</xdr:row>
      <xdr:rowOff>176894</xdr:rowOff>
    </xdr:to>
    <xdr:sp macro="" textlink="">
      <xdr:nvSpPr>
        <xdr:cNvPr id="4" name="Rectángulo: esquinas redondeadas 3">
          <a:extLst>
            <a:ext uri="{FF2B5EF4-FFF2-40B4-BE49-F238E27FC236}">
              <a16:creationId xmlns:a16="http://schemas.microsoft.com/office/drawing/2014/main" id="{7DBF397D-4CC3-197E-89DA-8A3E2776CDBD}"/>
            </a:ext>
          </a:extLst>
        </xdr:cNvPr>
        <xdr:cNvSpPr/>
      </xdr:nvSpPr>
      <xdr:spPr>
        <a:xfrm>
          <a:off x="775609" y="204108"/>
          <a:ext cx="2585356" cy="544286"/>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s-CL" sz="1100"/>
        </a:p>
      </xdr:txBody>
    </xdr:sp>
    <xdr:clientData/>
  </xdr:twoCellAnchor>
  <xdr:twoCellAnchor>
    <xdr:from>
      <xdr:col>1</xdr:col>
      <xdr:colOff>122467</xdr:colOff>
      <xdr:row>1</xdr:row>
      <xdr:rowOff>81643</xdr:rowOff>
    </xdr:from>
    <xdr:to>
      <xdr:col>2</xdr:col>
      <xdr:colOff>1415144</xdr:colOff>
      <xdr:row>3</xdr:row>
      <xdr:rowOff>68036</xdr:rowOff>
    </xdr:to>
    <xdr:sp macro="" textlink="">
      <xdr:nvSpPr>
        <xdr:cNvPr id="3" name="CuadroTexto 2">
          <a:extLst>
            <a:ext uri="{FF2B5EF4-FFF2-40B4-BE49-F238E27FC236}">
              <a16:creationId xmlns:a16="http://schemas.microsoft.com/office/drawing/2014/main" id="{F090F538-9941-79E9-80BE-ED4F214426AC}"/>
            </a:ext>
          </a:extLst>
        </xdr:cNvPr>
        <xdr:cNvSpPr txBox="1"/>
      </xdr:nvSpPr>
      <xdr:spPr>
        <a:xfrm>
          <a:off x="884467" y="272143"/>
          <a:ext cx="2422070" cy="367393"/>
        </a:xfrm>
        <a:prstGeom prst="rect">
          <a:avLst/>
        </a:prstGeom>
        <a:solidFill>
          <a:srgbClr val="C5E0B4">
            <a:alpha val="38824"/>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accent5">
                  <a:lumMod val="75000"/>
                </a:schemeClr>
              </a:solidFill>
            </a:rPr>
            <a:t>MATRIZ</a:t>
          </a:r>
          <a:r>
            <a:rPr lang="es-CL" sz="1800" b="1" baseline="0">
              <a:solidFill>
                <a:schemeClr val="accent5">
                  <a:lumMod val="75000"/>
                </a:schemeClr>
              </a:solidFill>
            </a:rPr>
            <a:t> AMBIENTAL</a:t>
          </a:r>
          <a:endParaRPr lang="es-CL" sz="1800" b="1">
            <a:solidFill>
              <a:schemeClr val="accent5">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485775</xdr:colOff>
      <xdr:row>2</xdr:row>
      <xdr:rowOff>61912</xdr:rowOff>
    </xdr:from>
    <xdr:to>
      <xdr:col>11</xdr:col>
      <xdr:colOff>485775</xdr:colOff>
      <xdr:row>10</xdr:row>
      <xdr:rowOff>185737</xdr:rowOff>
    </xdr:to>
    <xdr:graphicFrame macro="">
      <xdr:nvGraphicFramePr>
        <xdr:cNvPr id="2" name="Gráfico 1">
          <a:extLst>
            <a:ext uri="{FF2B5EF4-FFF2-40B4-BE49-F238E27FC236}">
              <a16:creationId xmlns:a16="http://schemas.microsoft.com/office/drawing/2014/main" id="{5C2C629C-7ECC-8E1C-524E-EAFCCA523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409575</xdr:colOff>
      <xdr:row>1</xdr:row>
      <xdr:rowOff>100012</xdr:rowOff>
    </xdr:from>
    <xdr:to>
      <xdr:col>11</xdr:col>
      <xdr:colOff>409575</xdr:colOff>
      <xdr:row>7</xdr:row>
      <xdr:rowOff>166687</xdr:rowOff>
    </xdr:to>
    <xdr:graphicFrame macro="">
      <xdr:nvGraphicFramePr>
        <xdr:cNvPr id="2" name="Gráfico 1">
          <a:extLst>
            <a:ext uri="{FF2B5EF4-FFF2-40B4-BE49-F238E27FC236}">
              <a16:creationId xmlns:a16="http://schemas.microsoft.com/office/drawing/2014/main" id="{1CB63843-C4E5-9B0D-4938-F6478F783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581025</xdr:colOff>
      <xdr:row>1</xdr:row>
      <xdr:rowOff>157162</xdr:rowOff>
    </xdr:from>
    <xdr:to>
      <xdr:col>11</xdr:col>
      <xdr:colOff>581025</xdr:colOff>
      <xdr:row>9</xdr:row>
      <xdr:rowOff>138112</xdr:rowOff>
    </xdr:to>
    <xdr:graphicFrame macro="">
      <xdr:nvGraphicFramePr>
        <xdr:cNvPr id="2" name="Gráfico 1">
          <a:extLst>
            <a:ext uri="{FF2B5EF4-FFF2-40B4-BE49-F238E27FC236}">
              <a16:creationId xmlns:a16="http://schemas.microsoft.com/office/drawing/2014/main" id="{5C070EA8-8FA6-F62E-831D-512056799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114300</xdr:colOff>
      <xdr:row>2</xdr:row>
      <xdr:rowOff>61912</xdr:rowOff>
    </xdr:from>
    <xdr:to>
      <xdr:col>13</xdr:col>
      <xdr:colOff>114300</xdr:colOff>
      <xdr:row>9</xdr:row>
      <xdr:rowOff>128587</xdr:rowOff>
    </xdr:to>
    <xdr:graphicFrame macro="">
      <xdr:nvGraphicFramePr>
        <xdr:cNvPr id="2" name="Gráfico 1">
          <a:extLst>
            <a:ext uri="{FF2B5EF4-FFF2-40B4-BE49-F238E27FC236}">
              <a16:creationId xmlns:a16="http://schemas.microsoft.com/office/drawing/2014/main" id="{0F4CDB03-EB72-2A67-8817-1708D2913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238125</xdr:colOff>
      <xdr:row>3</xdr:row>
      <xdr:rowOff>109537</xdr:rowOff>
    </xdr:from>
    <xdr:to>
      <xdr:col>13</xdr:col>
      <xdr:colOff>552450</xdr:colOff>
      <xdr:row>15</xdr:row>
      <xdr:rowOff>66675</xdr:rowOff>
    </xdr:to>
    <xdr:graphicFrame macro="">
      <xdr:nvGraphicFramePr>
        <xdr:cNvPr id="2" name="Gráfico 1">
          <a:extLst>
            <a:ext uri="{FF2B5EF4-FFF2-40B4-BE49-F238E27FC236}">
              <a16:creationId xmlns:a16="http://schemas.microsoft.com/office/drawing/2014/main" id="{F4DFC806-247C-35C2-BAB8-0564D4CBE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19050</xdr:colOff>
      <xdr:row>2</xdr:row>
      <xdr:rowOff>204787</xdr:rowOff>
    </xdr:from>
    <xdr:to>
      <xdr:col>13</xdr:col>
      <xdr:colOff>19050</xdr:colOff>
      <xdr:row>12</xdr:row>
      <xdr:rowOff>109537</xdr:rowOff>
    </xdr:to>
    <xdr:graphicFrame macro="">
      <xdr:nvGraphicFramePr>
        <xdr:cNvPr id="2" name="Gráfico 1">
          <a:extLst>
            <a:ext uri="{FF2B5EF4-FFF2-40B4-BE49-F238E27FC236}">
              <a16:creationId xmlns:a16="http://schemas.microsoft.com/office/drawing/2014/main" id="{4A01CF83-0790-573B-C465-1778EF6E6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161925</xdr:colOff>
      <xdr:row>2</xdr:row>
      <xdr:rowOff>109537</xdr:rowOff>
    </xdr:from>
    <xdr:to>
      <xdr:col>11</xdr:col>
      <xdr:colOff>161925</xdr:colOff>
      <xdr:row>10</xdr:row>
      <xdr:rowOff>280987</xdr:rowOff>
    </xdr:to>
    <xdr:graphicFrame macro="">
      <xdr:nvGraphicFramePr>
        <xdr:cNvPr id="2" name="Gráfico 1">
          <a:extLst>
            <a:ext uri="{FF2B5EF4-FFF2-40B4-BE49-F238E27FC236}">
              <a16:creationId xmlns:a16="http://schemas.microsoft.com/office/drawing/2014/main" id="{B8888BB6-A5BA-1ED8-31EB-2F1AAB236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23812</xdr:colOff>
      <xdr:row>4</xdr:row>
      <xdr:rowOff>158353</xdr:rowOff>
    </xdr:from>
    <xdr:to>
      <xdr:col>16</xdr:col>
      <xdr:colOff>488155</xdr:colOff>
      <xdr:row>20</xdr:row>
      <xdr:rowOff>47625</xdr:rowOff>
    </xdr:to>
    <xdr:graphicFrame macro="">
      <xdr:nvGraphicFramePr>
        <xdr:cNvPr id="2" name="Gráfico 1">
          <a:extLst>
            <a:ext uri="{FF2B5EF4-FFF2-40B4-BE49-F238E27FC236}">
              <a16:creationId xmlns:a16="http://schemas.microsoft.com/office/drawing/2014/main" id="{93FC0B91-D5D3-0012-1726-893DFCD89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90487</xdr:colOff>
      <xdr:row>1</xdr:row>
      <xdr:rowOff>185737</xdr:rowOff>
    </xdr:from>
    <xdr:to>
      <xdr:col>11</xdr:col>
      <xdr:colOff>90487</xdr:colOff>
      <xdr:row>14</xdr:row>
      <xdr:rowOff>23812</xdr:rowOff>
    </xdr:to>
    <xdr:graphicFrame macro="">
      <xdr:nvGraphicFramePr>
        <xdr:cNvPr id="2" name="Gráfico 1">
          <a:extLst>
            <a:ext uri="{FF2B5EF4-FFF2-40B4-BE49-F238E27FC236}">
              <a16:creationId xmlns:a16="http://schemas.microsoft.com/office/drawing/2014/main" id="{343B6394-0633-41FA-8D83-B6DDF7752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538162</xdr:colOff>
      <xdr:row>2</xdr:row>
      <xdr:rowOff>23812</xdr:rowOff>
    </xdr:from>
    <xdr:to>
      <xdr:col>11</xdr:col>
      <xdr:colOff>538162</xdr:colOff>
      <xdr:row>14</xdr:row>
      <xdr:rowOff>52387</xdr:rowOff>
    </xdr:to>
    <xdr:graphicFrame macro="">
      <xdr:nvGraphicFramePr>
        <xdr:cNvPr id="8" name="Gráfico 7">
          <a:extLst>
            <a:ext uri="{FF2B5EF4-FFF2-40B4-BE49-F238E27FC236}">
              <a16:creationId xmlns:a16="http://schemas.microsoft.com/office/drawing/2014/main" id="{91D53F6A-866C-8B62-BAE9-3473FAA84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257175</xdr:colOff>
      <xdr:row>2</xdr:row>
      <xdr:rowOff>33337</xdr:rowOff>
    </xdr:from>
    <xdr:to>
      <xdr:col>6</xdr:col>
      <xdr:colOff>2128837</xdr:colOff>
      <xdr:row>15</xdr:row>
      <xdr:rowOff>185737</xdr:rowOff>
    </xdr:to>
    <xdr:graphicFrame macro="">
      <xdr:nvGraphicFramePr>
        <xdr:cNvPr id="9" name="Gráfico 8">
          <a:extLst>
            <a:ext uri="{FF2B5EF4-FFF2-40B4-BE49-F238E27FC236}">
              <a16:creationId xmlns:a16="http://schemas.microsoft.com/office/drawing/2014/main" id="{407B2220-01DD-5A30-B968-AC9F7660D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666750</xdr:colOff>
      <xdr:row>2</xdr:row>
      <xdr:rowOff>133350</xdr:rowOff>
    </xdr:from>
    <xdr:to>
      <xdr:col>13</xdr:col>
      <xdr:colOff>171451</xdr:colOff>
      <xdr:row>14</xdr:row>
      <xdr:rowOff>23812</xdr:rowOff>
    </xdr:to>
    <xdr:graphicFrame macro="">
      <xdr:nvGraphicFramePr>
        <xdr:cNvPr id="3" name="Gráfico 2">
          <a:extLst>
            <a:ext uri="{FF2B5EF4-FFF2-40B4-BE49-F238E27FC236}">
              <a16:creationId xmlns:a16="http://schemas.microsoft.com/office/drawing/2014/main" id="{AD7B7555-7BE8-E7B7-B38B-FF0D1C479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E26279-F6AE-401C-B13C-921A70E61EEE}" name="Tabla1" displayName="Tabla1" ref="B8:L113" totalsRowShown="0" headerRowDxfId="23" dataDxfId="22">
  <autoFilter ref="B8:L113" xr:uid="{E447D0F7-BE99-412D-AEA9-97D66DCBE03F}"/>
  <tableColumns count="11">
    <tableColumn id="2" xr3:uid="{CA863A3B-2687-45BC-95C7-286F7D47B5C9}" name="Componente " dataDxfId="21" totalsRowDxfId="20"/>
    <tableColumn id="6" xr3:uid="{E9C26A2E-4DE8-476C-954E-CB20F2C5B07D}" name="Faena" dataDxfId="19" totalsRowDxfId="18"/>
    <tableColumn id="14" xr3:uid="{EC8107CE-BBF8-4C82-984C-4935A7BF9A35}" name="Tipo de Tarea" dataDxfId="17" totalsRowDxfId="16"/>
    <tableColumn id="7" xr3:uid="{9A779B78-E12A-4962-869A-5F5B66B42E42}" name="Descripcion " dataDxfId="15" totalsRowDxfId="14"/>
    <tableColumn id="10" xr3:uid="{DBC4856C-8EEA-4175-80B6-96C9577F3BCE}" name="Documento /Accion" dataDxfId="13" totalsRowDxfId="12"/>
    <tableColumn id="5" xr3:uid="{707AF818-C346-4463-BC6C-A701E7C162CF}" name="Periodicidad" dataDxfId="11" totalsRowDxfId="10"/>
    <tableColumn id="11" xr3:uid="{EDC2D19A-74A2-4073-BCBB-9F9999F0BC9F}" name="Entregables" dataDxfId="9" totalsRowDxfId="8"/>
    <tableColumn id="1" xr3:uid="{9A1192E2-8F21-42D1-A455-6E20E695EA36}" name="Resultado" dataDxfId="7" totalsRowDxfId="6"/>
    <tableColumn id="12" xr3:uid="{18031143-68FE-4EC9-96A7-354A5C91FB23}" name="Etapa Proyecto" dataDxfId="5" totalsRowDxfId="4"/>
    <tableColumn id="3" xr3:uid="{CE8556C0-F807-49B1-A79D-F668ED7D139E}" name="Area Responsable" dataDxfId="3" totalsRowDxfId="2"/>
    <tableColumn id="4" xr3:uid="{599D630D-BC15-48DB-93B0-ECFDDFDED89F}" name="Observaciones" dataDxfId="1" totalsRowDxfId="0"/>
  </tableColumns>
  <tableStyleInfo name="TableStyleMedium9"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7D0F7-BE99-412D-AEA9-97D66DCBE03F}">
  <dimension ref="A1:Q147"/>
  <sheetViews>
    <sheetView tabSelected="1" topLeftCell="D1" zoomScaleNormal="100" workbookViewId="0">
      <selection activeCell="J66" sqref="J66"/>
    </sheetView>
  </sheetViews>
  <sheetFormatPr baseColWidth="10" defaultRowHeight="15" x14ac:dyDescent="0.25"/>
  <cols>
    <col min="1" max="1" width="11.42578125" style="1"/>
    <col min="2" max="2" width="17" style="1" customWidth="1"/>
    <col min="3" max="3" width="22.42578125" style="2" customWidth="1"/>
    <col min="4" max="4" width="24.140625" style="3" customWidth="1"/>
    <col min="5" max="5" width="31" style="2" customWidth="1"/>
    <col min="6" max="6" width="26.140625" style="6" customWidth="1"/>
    <col min="7" max="7" width="24.7109375" style="6" customWidth="1"/>
    <col min="8" max="8" width="15.42578125" style="1" customWidth="1"/>
    <col min="9" max="9" width="14.5703125" style="1" customWidth="1"/>
    <col min="10" max="10" width="41.7109375" style="1" customWidth="1"/>
    <col min="11" max="11" width="28.85546875" style="2" customWidth="1"/>
    <col min="12" max="12" width="24.28515625" style="2" customWidth="1"/>
    <col min="14" max="14" width="14.5703125" style="1" customWidth="1"/>
    <col min="15" max="15" width="21" style="1" customWidth="1"/>
    <col min="16" max="16" width="19.42578125" style="1" customWidth="1"/>
    <col min="17" max="17" width="23.28515625" style="1" customWidth="1"/>
    <col min="18" max="18" width="19.28515625" style="1" customWidth="1"/>
    <col min="19" max="16384" width="11.42578125" style="1"/>
  </cols>
  <sheetData>
    <row r="1" spans="1:13" x14ac:dyDescent="0.25">
      <c r="B1" s="15"/>
      <c r="C1" s="16"/>
      <c r="D1" s="17"/>
      <c r="E1" s="16"/>
    </row>
    <row r="2" spans="1:13" x14ac:dyDescent="0.25">
      <c r="B2" s="72"/>
      <c r="C2" s="73"/>
      <c r="D2" s="55" t="s">
        <v>337</v>
      </c>
      <c r="E2" s="56">
        <v>44972</v>
      </c>
    </row>
    <row r="3" spans="1:13" x14ac:dyDescent="0.25">
      <c r="B3" s="74"/>
      <c r="C3" s="75"/>
      <c r="D3" s="55" t="s">
        <v>338</v>
      </c>
      <c r="E3" s="57">
        <v>1</v>
      </c>
    </row>
    <row r="4" spans="1:13" x14ac:dyDescent="0.25">
      <c r="B4" s="76"/>
      <c r="C4" s="77"/>
      <c r="D4" s="58"/>
      <c r="E4" s="57"/>
      <c r="F4" s="64"/>
    </row>
    <row r="5" spans="1:13" x14ac:dyDescent="0.25">
      <c r="B5" s="62" t="s">
        <v>463</v>
      </c>
      <c r="C5" s="70" t="s">
        <v>467</v>
      </c>
      <c r="D5" s="70"/>
      <c r="E5" s="70"/>
    </row>
    <row r="6" spans="1:13" x14ac:dyDescent="0.25">
      <c r="B6" s="63" t="s">
        <v>464</v>
      </c>
      <c r="C6" s="78" t="s">
        <v>466</v>
      </c>
      <c r="D6" s="78"/>
      <c r="E6" s="78"/>
    </row>
    <row r="7" spans="1:13" x14ac:dyDescent="0.25">
      <c r="B7" s="63" t="s">
        <v>465</v>
      </c>
      <c r="C7" s="79" t="s">
        <v>470</v>
      </c>
      <c r="D7" s="80"/>
      <c r="E7" s="81"/>
    </row>
    <row r="8" spans="1:13" x14ac:dyDescent="0.25">
      <c r="A8" s="1" t="s">
        <v>339</v>
      </c>
      <c r="B8" s="7" t="s">
        <v>264</v>
      </c>
      <c r="C8" s="8" t="s">
        <v>265</v>
      </c>
      <c r="D8" s="8" t="s">
        <v>273</v>
      </c>
      <c r="E8" s="8" t="s">
        <v>304</v>
      </c>
      <c r="F8" s="9" t="s">
        <v>268</v>
      </c>
      <c r="G8" s="9" t="s">
        <v>303</v>
      </c>
      <c r="H8" s="8" t="s">
        <v>460</v>
      </c>
      <c r="I8" s="8" t="s">
        <v>270</v>
      </c>
      <c r="J8" s="8" t="s">
        <v>305</v>
      </c>
      <c r="K8" s="8" t="s">
        <v>266</v>
      </c>
      <c r="L8" s="8" t="s">
        <v>267</v>
      </c>
      <c r="M8" s="1"/>
    </row>
    <row r="9" spans="1:13" ht="55.5" customHeight="1" x14ac:dyDescent="0.25">
      <c r="A9" s="1">
        <v>1</v>
      </c>
      <c r="B9" s="10" t="s">
        <v>0</v>
      </c>
      <c r="C9" s="11" t="s">
        <v>90</v>
      </c>
      <c r="D9" s="11" t="s">
        <v>274</v>
      </c>
      <c r="E9" s="11" t="s">
        <v>1</v>
      </c>
      <c r="F9" s="12" t="s">
        <v>2</v>
      </c>
      <c r="G9" s="12" t="s">
        <v>330</v>
      </c>
      <c r="H9" s="10">
        <v>1</v>
      </c>
      <c r="I9" s="10">
        <v>1</v>
      </c>
      <c r="J9" s="11" t="s">
        <v>473</v>
      </c>
      <c r="K9" s="11" t="s">
        <v>472</v>
      </c>
      <c r="L9" s="11"/>
      <c r="M9" s="1"/>
    </row>
    <row r="10" spans="1:13" ht="107.25" customHeight="1" x14ac:dyDescent="0.25">
      <c r="A10" s="1">
        <v>2</v>
      </c>
      <c r="B10" s="10" t="s">
        <v>0</v>
      </c>
      <c r="C10" s="11" t="s">
        <v>90</v>
      </c>
      <c r="D10" s="11" t="s">
        <v>296</v>
      </c>
      <c r="E10" s="11" t="s">
        <v>269</v>
      </c>
      <c r="F10" s="13" t="s">
        <v>91</v>
      </c>
      <c r="G10" s="12" t="s">
        <v>330</v>
      </c>
      <c r="H10" s="10">
        <v>3</v>
      </c>
      <c r="I10" s="10">
        <v>2</v>
      </c>
      <c r="J10" s="11" t="s">
        <v>473</v>
      </c>
      <c r="K10" s="11" t="s">
        <v>472</v>
      </c>
      <c r="L10" s="11"/>
      <c r="M10" s="1"/>
    </row>
    <row r="11" spans="1:13" ht="95.25" customHeight="1" x14ac:dyDescent="0.25">
      <c r="A11" s="1">
        <v>3</v>
      </c>
      <c r="B11" s="10" t="s">
        <v>0</v>
      </c>
      <c r="C11" s="11" t="s">
        <v>90</v>
      </c>
      <c r="D11" s="11" t="s">
        <v>276</v>
      </c>
      <c r="E11" s="11" t="s">
        <v>236</v>
      </c>
      <c r="F11" s="13" t="s">
        <v>235</v>
      </c>
      <c r="G11" s="12" t="s">
        <v>330</v>
      </c>
      <c r="H11" s="11">
        <v>3</v>
      </c>
      <c r="I11" s="10">
        <v>3</v>
      </c>
      <c r="J11" s="11" t="s">
        <v>473</v>
      </c>
      <c r="K11" s="11" t="s">
        <v>472</v>
      </c>
      <c r="L11" s="11"/>
      <c r="M11" s="1"/>
    </row>
    <row r="12" spans="1:13" ht="79.5" customHeight="1" x14ac:dyDescent="0.25">
      <c r="A12" s="1">
        <v>4</v>
      </c>
      <c r="B12" s="11" t="s">
        <v>10</v>
      </c>
      <c r="C12" s="11" t="s">
        <v>90</v>
      </c>
      <c r="D12" s="11" t="s">
        <v>300</v>
      </c>
      <c r="E12" s="11" t="s">
        <v>104</v>
      </c>
      <c r="F12" s="13" t="s">
        <v>105</v>
      </c>
      <c r="G12" s="11" t="s">
        <v>317</v>
      </c>
      <c r="H12" s="10">
        <v>5</v>
      </c>
      <c r="I12" s="10">
        <v>2</v>
      </c>
      <c r="J12" s="11" t="s">
        <v>473</v>
      </c>
      <c r="K12" s="11"/>
      <c r="L12" s="11"/>
      <c r="M12" s="1"/>
    </row>
    <row r="13" spans="1:13" ht="75" customHeight="1" x14ac:dyDescent="0.25">
      <c r="A13" s="1">
        <v>5</v>
      </c>
      <c r="B13" s="11" t="s">
        <v>10</v>
      </c>
      <c r="C13" s="11" t="s">
        <v>90</v>
      </c>
      <c r="D13" s="11" t="s">
        <v>300</v>
      </c>
      <c r="E13" s="11" t="s">
        <v>106</v>
      </c>
      <c r="F13" s="13" t="s">
        <v>107</v>
      </c>
      <c r="G13" s="11" t="s">
        <v>317</v>
      </c>
      <c r="H13" s="11">
        <v>5</v>
      </c>
      <c r="I13" s="10">
        <v>3</v>
      </c>
      <c r="J13" s="11" t="s">
        <v>252</v>
      </c>
      <c r="K13" s="11" t="s">
        <v>307</v>
      </c>
      <c r="L13" s="11" t="s">
        <v>301</v>
      </c>
      <c r="M13" s="1"/>
    </row>
    <row r="14" spans="1:13" ht="55.5" customHeight="1" x14ac:dyDescent="0.25">
      <c r="A14" s="1">
        <v>6</v>
      </c>
      <c r="B14" s="10" t="s">
        <v>16</v>
      </c>
      <c r="C14" s="11" t="s">
        <v>92</v>
      </c>
      <c r="D14" s="11" t="s">
        <v>277</v>
      </c>
      <c r="E14" s="11" t="s">
        <v>302</v>
      </c>
      <c r="F14" s="12" t="s">
        <v>93</v>
      </c>
      <c r="G14" s="11" t="s">
        <v>52</v>
      </c>
      <c r="H14" s="11">
        <v>12</v>
      </c>
      <c r="I14" s="11">
        <v>8</v>
      </c>
      <c r="J14" s="11" t="s">
        <v>471</v>
      </c>
      <c r="K14" s="11" t="s">
        <v>307</v>
      </c>
      <c r="L14" s="11" t="s">
        <v>306</v>
      </c>
      <c r="M14" s="1"/>
    </row>
    <row r="15" spans="1:13" ht="55.5" customHeight="1" x14ac:dyDescent="0.25">
      <c r="A15" s="1">
        <v>7</v>
      </c>
      <c r="B15" s="10" t="s">
        <v>38</v>
      </c>
      <c r="C15" s="11" t="s">
        <v>95</v>
      </c>
      <c r="D15" s="11" t="s">
        <v>297</v>
      </c>
      <c r="E15" s="11" t="s">
        <v>96</v>
      </c>
      <c r="F15" s="12" t="s">
        <v>94</v>
      </c>
      <c r="G15" s="11" t="s">
        <v>52</v>
      </c>
      <c r="H15" s="11">
        <v>12</v>
      </c>
      <c r="I15" s="11">
        <v>11</v>
      </c>
      <c r="J15" s="11" t="s">
        <v>474</v>
      </c>
      <c r="K15" s="11" t="s">
        <v>308</v>
      </c>
      <c r="L15" s="11"/>
      <c r="M15" s="1"/>
    </row>
    <row r="16" spans="1:13" ht="55.5" customHeight="1" x14ac:dyDescent="0.25">
      <c r="A16" s="1">
        <v>8</v>
      </c>
      <c r="B16" s="10" t="s">
        <v>16</v>
      </c>
      <c r="C16" s="11" t="s">
        <v>95</v>
      </c>
      <c r="D16" s="11" t="s">
        <v>278</v>
      </c>
      <c r="E16" s="11" t="s">
        <v>97</v>
      </c>
      <c r="F16" s="12" t="s">
        <v>98</v>
      </c>
      <c r="G16" s="11" t="s">
        <v>52</v>
      </c>
      <c r="H16" s="11">
        <v>12</v>
      </c>
      <c r="I16" s="11">
        <v>11</v>
      </c>
      <c r="J16" s="11" t="s">
        <v>474</v>
      </c>
      <c r="K16" s="11" t="s">
        <v>308</v>
      </c>
      <c r="L16" s="11"/>
      <c r="M16" s="1"/>
    </row>
    <row r="17" spans="1:13" ht="55.5" customHeight="1" x14ac:dyDescent="0.25">
      <c r="A17" s="1">
        <v>9</v>
      </c>
      <c r="B17" s="10" t="s">
        <v>16</v>
      </c>
      <c r="C17" s="11" t="s">
        <v>95</v>
      </c>
      <c r="D17" s="11" t="s">
        <v>279</v>
      </c>
      <c r="E17" s="11" t="s">
        <v>309</v>
      </c>
      <c r="F17" s="12" t="s">
        <v>310</v>
      </c>
      <c r="G17" s="11" t="s">
        <v>52</v>
      </c>
      <c r="H17" s="11">
        <v>12</v>
      </c>
      <c r="I17" s="11">
        <v>7</v>
      </c>
      <c r="J17" s="11" t="s">
        <v>475</v>
      </c>
      <c r="K17" s="11" t="s">
        <v>308</v>
      </c>
      <c r="L17" s="11"/>
      <c r="M17" s="1"/>
    </row>
    <row r="18" spans="1:13" ht="55.5" customHeight="1" x14ac:dyDescent="0.25">
      <c r="A18" s="1">
        <v>10</v>
      </c>
      <c r="B18" s="10" t="s">
        <v>0</v>
      </c>
      <c r="C18" s="11" t="s">
        <v>119</v>
      </c>
      <c r="D18" s="11" t="s">
        <v>280</v>
      </c>
      <c r="E18" s="11" t="s">
        <v>311</v>
      </c>
      <c r="F18" s="12" t="s">
        <v>5</v>
      </c>
      <c r="G18" s="11" t="s">
        <v>256</v>
      </c>
      <c r="H18" s="11">
        <v>48</v>
      </c>
      <c r="I18" s="11">
        <v>29</v>
      </c>
      <c r="J18" s="11" t="s">
        <v>471</v>
      </c>
      <c r="K18" s="11" t="s">
        <v>272</v>
      </c>
      <c r="L18" s="11"/>
      <c r="M18" s="1"/>
    </row>
    <row r="19" spans="1:13" ht="55.5" customHeight="1" x14ac:dyDescent="0.25">
      <c r="A19" s="1">
        <v>11</v>
      </c>
      <c r="B19" s="10" t="s">
        <v>16</v>
      </c>
      <c r="C19" s="11" t="s">
        <v>119</v>
      </c>
      <c r="D19" s="11" t="s">
        <v>277</v>
      </c>
      <c r="E19" s="11" t="s">
        <v>114</v>
      </c>
      <c r="F19" s="12" t="s">
        <v>115</v>
      </c>
      <c r="G19" s="11" t="s">
        <v>52</v>
      </c>
      <c r="H19" s="11">
        <v>12</v>
      </c>
      <c r="I19" s="11">
        <v>11</v>
      </c>
      <c r="J19" s="11" t="s">
        <v>471</v>
      </c>
      <c r="K19" s="11" t="s">
        <v>272</v>
      </c>
      <c r="L19" s="11"/>
      <c r="M19" s="1"/>
    </row>
    <row r="20" spans="1:13" ht="55.5" customHeight="1" x14ac:dyDescent="0.25">
      <c r="A20" s="1">
        <v>12</v>
      </c>
      <c r="B20" s="10" t="s">
        <v>16</v>
      </c>
      <c r="C20" s="11" t="s">
        <v>119</v>
      </c>
      <c r="D20" s="11" t="s">
        <v>281</v>
      </c>
      <c r="E20" s="11" t="s">
        <v>120</v>
      </c>
      <c r="F20" s="12" t="s">
        <v>118</v>
      </c>
      <c r="G20" s="10" t="s">
        <v>6</v>
      </c>
      <c r="H20" s="10">
        <v>1</v>
      </c>
      <c r="I20" s="10">
        <v>1</v>
      </c>
      <c r="J20" s="11" t="s">
        <v>471</v>
      </c>
      <c r="K20" s="11" t="s">
        <v>307</v>
      </c>
      <c r="L20" s="11"/>
      <c r="M20" s="1"/>
    </row>
    <row r="21" spans="1:13" ht="55.5" customHeight="1" x14ac:dyDescent="0.25">
      <c r="A21" s="1">
        <v>13</v>
      </c>
      <c r="B21" s="10" t="s">
        <v>16</v>
      </c>
      <c r="C21" s="11" t="s">
        <v>119</v>
      </c>
      <c r="D21" s="11" t="s">
        <v>312</v>
      </c>
      <c r="E21" s="11" t="s">
        <v>116</v>
      </c>
      <c r="F21" s="13" t="s">
        <v>117</v>
      </c>
      <c r="G21" s="10" t="s">
        <v>6</v>
      </c>
      <c r="H21" s="10">
        <v>1</v>
      </c>
      <c r="I21" s="10">
        <v>1</v>
      </c>
      <c r="J21" s="11" t="s">
        <v>476</v>
      </c>
      <c r="K21" s="11" t="s">
        <v>307</v>
      </c>
      <c r="L21" s="11"/>
      <c r="M21" s="1"/>
    </row>
    <row r="22" spans="1:13" ht="55.5" customHeight="1" x14ac:dyDescent="0.25">
      <c r="A22" s="1">
        <v>14</v>
      </c>
      <c r="B22" s="11" t="s">
        <v>3</v>
      </c>
      <c r="C22" s="11" t="s">
        <v>7</v>
      </c>
      <c r="D22" s="11" t="s">
        <v>280</v>
      </c>
      <c r="E22" s="11" t="s">
        <v>184</v>
      </c>
      <c r="F22" s="12" t="s">
        <v>4</v>
      </c>
      <c r="G22" s="10" t="s">
        <v>6</v>
      </c>
      <c r="H22" s="10">
        <v>1</v>
      </c>
      <c r="I22" s="10">
        <v>1</v>
      </c>
      <c r="J22" s="11" t="s">
        <v>474</v>
      </c>
      <c r="K22" s="11" t="s">
        <v>307</v>
      </c>
      <c r="L22" s="11"/>
      <c r="M22" s="1"/>
    </row>
    <row r="23" spans="1:13" ht="90" customHeight="1" x14ac:dyDescent="0.25">
      <c r="A23" s="1">
        <v>15</v>
      </c>
      <c r="B23" s="11" t="s">
        <v>68</v>
      </c>
      <c r="C23" s="11" t="s">
        <v>8</v>
      </c>
      <c r="D23" s="11" t="s">
        <v>314</v>
      </c>
      <c r="E23" s="11" t="s">
        <v>100</v>
      </c>
      <c r="F23" s="13" t="s">
        <v>313</v>
      </c>
      <c r="G23" s="10" t="s">
        <v>6</v>
      </c>
      <c r="H23" s="11">
        <v>1</v>
      </c>
      <c r="I23" s="11">
        <v>1</v>
      </c>
      <c r="J23" s="11" t="s">
        <v>477</v>
      </c>
      <c r="K23" s="11" t="s">
        <v>307</v>
      </c>
      <c r="L23" s="11"/>
      <c r="M23" s="1"/>
    </row>
    <row r="24" spans="1:13" ht="120" customHeight="1" x14ac:dyDescent="0.25">
      <c r="A24" s="1">
        <v>16</v>
      </c>
      <c r="B24" s="11" t="s">
        <v>68</v>
      </c>
      <c r="C24" s="11" t="s">
        <v>8</v>
      </c>
      <c r="D24" s="11" t="s">
        <v>315</v>
      </c>
      <c r="E24" s="11" t="s">
        <v>99</v>
      </c>
      <c r="F24" s="13" t="s">
        <v>316</v>
      </c>
      <c r="G24" s="10" t="s">
        <v>6</v>
      </c>
      <c r="H24" s="11">
        <v>1</v>
      </c>
      <c r="I24" s="11">
        <v>1</v>
      </c>
      <c r="J24" s="11" t="s">
        <v>477</v>
      </c>
      <c r="K24" s="11" t="s">
        <v>307</v>
      </c>
      <c r="L24" s="11"/>
      <c r="M24" s="1"/>
    </row>
    <row r="25" spans="1:13" ht="55.5" customHeight="1" x14ac:dyDescent="0.25">
      <c r="A25" s="1">
        <v>17</v>
      </c>
      <c r="B25" s="11" t="s">
        <v>68</v>
      </c>
      <c r="C25" s="11" t="s">
        <v>9</v>
      </c>
      <c r="D25" s="11" t="s">
        <v>277</v>
      </c>
      <c r="E25" s="11" t="s">
        <v>113</v>
      </c>
      <c r="F25" s="12" t="s">
        <v>318</v>
      </c>
      <c r="G25" s="11" t="s">
        <v>317</v>
      </c>
      <c r="H25" s="11">
        <v>5</v>
      </c>
      <c r="I25" s="11">
        <v>4</v>
      </c>
      <c r="J25" s="11" t="s">
        <v>478</v>
      </c>
      <c r="K25" s="11" t="s">
        <v>307</v>
      </c>
      <c r="L25" s="11"/>
      <c r="M25" s="1"/>
    </row>
    <row r="26" spans="1:13" ht="55.5" customHeight="1" x14ac:dyDescent="0.25">
      <c r="A26" s="1">
        <v>18</v>
      </c>
      <c r="B26" s="11" t="s">
        <v>54</v>
      </c>
      <c r="C26" s="11" t="s">
        <v>152</v>
      </c>
      <c r="D26" s="11" t="s">
        <v>284</v>
      </c>
      <c r="E26" s="11" t="s">
        <v>153</v>
      </c>
      <c r="F26" s="12" t="s">
        <v>319</v>
      </c>
      <c r="G26" s="11" t="s">
        <v>317</v>
      </c>
      <c r="H26" s="11">
        <v>5</v>
      </c>
      <c r="I26" s="11">
        <v>5</v>
      </c>
      <c r="J26" s="11" t="s">
        <v>479</v>
      </c>
      <c r="K26" s="11" t="s">
        <v>307</v>
      </c>
      <c r="L26" s="11"/>
      <c r="M26" s="1"/>
    </row>
    <row r="27" spans="1:13" ht="90.75" customHeight="1" x14ac:dyDescent="0.25">
      <c r="A27" s="1">
        <v>19</v>
      </c>
      <c r="B27" s="11" t="s">
        <v>54</v>
      </c>
      <c r="C27" s="11" t="s">
        <v>152</v>
      </c>
      <c r="D27" s="11" t="s">
        <v>282</v>
      </c>
      <c r="E27" s="11" t="s">
        <v>154</v>
      </c>
      <c r="F27" s="13" t="s">
        <v>208</v>
      </c>
      <c r="G27" s="11" t="s">
        <v>317</v>
      </c>
      <c r="H27" s="11">
        <v>5</v>
      </c>
      <c r="I27" s="11">
        <v>5</v>
      </c>
      <c r="J27" s="11" t="s">
        <v>479</v>
      </c>
      <c r="K27" s="11" t="s">
        <v>307</v>
      </c>
      <c r="L27" s="11"/>
      <c r="M27" s="1"/>
    </row>
    <row r="28" spans="1:13" ht="92.25" customHeight="1" x14ac:dyDescent="0.25">
      <c r="A28" s="1">
        <v>20</v>
      </c>
      <c r="B28" s="11" t="s">
        <v>10</v>
      </c>
      <c r="C28" s="11" t="s">
        <v>101</v>
      </c>
      <c r="D28" s="11" t="s">
        <v>320</v>
      </c>
      <c r="E28" s="11" t="s">
        <v>103</v>
      </c>
      <c r="F28" s="13" t="s">
        <v>321</v>
      </c>
      <c r="G28" s="11" t="s">
        <v>317</v>
      </c>
      <c r="H28" s="11">
        <v>5</v>
      </c>
      <c r="I28" s="11">
        <v>5</v>
      </c>
      <c r="J28" s="11" t="s">
        <v>478</v>
      </c>
      <c r="K28" s="11" t="s">
        <v>307</v>
      </c>
      <c r="L28" s="11"/>
      <c r="M28" s="1"/>
    </row>
    <row r="29" spans="1:13" ht="55.5" customHeight="1" x14ac:dyDescent="0.25">
      <c r="A29" s="1">
        <v>21</v>
      </c>
      <c r="B29" s="11" t="s">
        <v>68</v>
      </c>
      <c r="C29" s="11" t="s">
        <v>108</v>
      </c>
      <c r="D29" s="11" t="s">
        <v>277</v>
      </c>
      <c r="E29" s="11" t="s">
        <v>323</v>
      </c>
      <c r="F29" s="13" t="s">
        <v>322</v>
      </c>
      <c r="G29" s="11" t="s">
        <v>317</v>
      </c>
      <c r="H29" s="11">
        <v>5</v>
      </c>
      <c r="I29" s="11">
        <v>1</v>
      </c>
      <c r="J29" s="11" t="s">
        <v>478</v>
      </c>
      <c r="K29" s="11" t="s">
        <v>307</v>
      </c>
      <c r="L29" s="11"/>
      <c r="M29" s="1"/>
    </row>
    <row r="30" spans="1:13" ht="55.5" customHeight="1" x14ac:dyDescent="0.25">
      <c r="A30" s="1">
        <v>22</v>
      </c>
      <c r="B30" s="11" t="s">
        <v>68</v>
      </c>
      <c r="C30" s="11" t="s">
        <v>8</v>
      </c>
      <c r="D30" s="11" t="s">
        <v>281</v>
      </c>
      <c r="E30" s="10" t="s">
        <v>110</v>
      </c>
      <c r="F30" s="13" t="s">
        <v>102</v>
      </c>
      <c r="G30" s="11" t="s">
        <v>109</v>
      </c>
      <c r="H30" s="11">
        <v>4</v>
      </c>
      <c r="I30" s="11">
        <v>3</v>
      </c>
      <c r="J30" s="11" t="s">
        <v>478</v>
      </c>
      <c r="K30" s="11" t="s">
        <v>307</v>
      </c>
      <c r="L30" s="11"/>
      <c r="M30" s="1"/>
    </row>
    <row r="31" spans="1:13" ht="55.5" customHeight="1" x14ac:dyDescent="0.25">
      <c r="A31" s="1">
        <v>23</v>
      </c>
      <c r="B31" s="11" t="s">
        <v>68</v>
      </c>
      <c r="C31" s="11" t="s">
        <v>8</v>
      </c>
      <c r="D31" s="11" t="s">
        <v>282</v>
      </c>
      <c r="E31" s="11" t="s">
        <v>111</v>
      </c>
      <c r="F31" s="13" t="s">
        <v>70</v>
      </c>
      <c r="G31" s="11" t="s">
        <v>109</v>
      </c>
      <c r="H31" s="11">
        <v>4</v>
      </c>
      <c r="I31" s="11">
        <v>2</v>
      </c>
      <c r="J31" s="11" t="s">
        <v>478</v>
      </c>
      <c r="K31" s="11" t="s">
        <v>307</v>
      </c>
      <c r="L31" s="11"/>
      <c r="M31" s="1"/>
    </row>
    <row r="32" spans="1:13" ht="55.5" customHeight="1" x14ac:dyDescent="0.25">
      <c r="A32" s="1">
        <v>24</v>
      </c>
      <c r="B32" s="11" t="s">
        <v>68</v>
      </c>
      <c r="C32" s="11" t="s">
        <v>8</v>
      </c>
      <c r="D32" s="11" t="s">
        <v>280</v>
      </c>
      <c r="E32" s="10" t="s">
        <v>112</v>
      </c>
      <c r="F32" s="12" t="s">
        <v>324</v>
      </c>
      <c r="G32" s="11" t="s">
        <v>317</v>
      </c>
      <c r="H32" s="11">
        <v>5</v>
      </c>
      <c r="I32" s="11">
        <v>1</v>
      </c>
      <c r="J32" s="11" t="s">
        <v>480</v>
      </c>
      <c r="K32" s="11" t="s">
        <v>307</v>
      </c>
      <c r="L32" s="11"/>
      <c r="M32" s="1"/>
    </row>
    <row r="33" spans="1:14" ht="55.5" customHeight="1" x14ac:dyDescent="0.25">
      <c r="A33" s="1">
        <v>25</v>
      </c>
      <c r="B33" s="11" t="s">
        <v>11</v>
      </c>
      <c r="C33" s="11" t="s">
        <v>27</v>
      </c>
      <c r="D33" s="11"/>
      <c r="E33" s="10" t="s">
        <v>325</v>
      </c>
      <c r="F33" s="12" t="s">
        <v>159</v>
      </c>
      <c r="G33" s="11" t="s">
        <v>52</v>
      </c>
      <c r="H33" s="11">
        <v>12</v>
      </c>
      <c r="I33" s="11">
        <v>3</v>
      </c>
      <c r="J33" s="11" t="s">
        <v>474</v>
      </c>
      <c r="K33" s="11" t="s">
        <v>307</v>
      </c>
      <c r="L33" s="11"/>
      <c r="M33" s="1"/>
    </row>
    <row r="34" spans="1:14" ht="55.5" customHeight="1" x14ac:dyDescent="0.25">
      <c r="A34" s="1">
        <v>26</v>
      </c>
      <c r="B34" s="11" t="s">
        <v>11</v>
      </c>
      <c r="C34" s="11" t="s">
        <v>27</v>
      </c>
      <c r="D34" s="11" t="s">
        <v>277</v>
      </c>
      <c r="E34" s="11" t="s">
        <v>157</v>
      </c>
      <c r="F34" s="13" t="s">
        <v>158</v>
      </c>
      <c r="G34" s="11" t="s">
        <v>52</v>
      </c>
      <c r="H34" s="11">
        <v>12</v>
      </c>
      <c r="I34" s="11">
        <v>2</v>
      </c>
      <c r="J34" s="11" t="s">
        <v>474</v>
      </c>
      <c r="K34" s="11" t="s">
        <v>241</v>
      </c>
      <c r="L34" s="11"/>
      <c r="M34" s="1"/>
    </row>
    <row r="35" spans="1:14" ht="55.5" customHeight="1" x14ac:dyDescent="0.25">
      <c r="A35" s="1">
        <v>27</v>
      </c>
      <c r="B35" s="11" t="s">
        <v>11</v>
      </c>
      <c r="C35" s="11" t="s">
        <v>27</v>
      </c>
      <c r="D35" s="11" t="s">
        <v>280</v>
      </c>
      <c r="E35" s="11" t="s">
        <v>239</v>
      </c>
      <c r="F35" s="12" t="s">
        <v>155</v>
      </c>
      <c r="G35" s="11" t="s">
        <v>52</v>
      </c>
      <c r="H35" s="11">
        <v>12</v>
      </c>
      <c r="I35" s="11">
        <v>1</v>
      </c>
      <c r="J35" s="11" t="s">
        <v>474</v>
      </c>
      <c r="K35" s="11" t="s">
        <v>241</v>
      </c>
      <c r="L35" s="11"/>
      <c r="M35" s="1"/>
    </row>
    <row r="36" spans="1:14" ht="85.5" customHeight="1" x14ac:dyDescent="0.25">
      <c r="A36" s="1">
        <v>28</v>
      </c>
      <c r="B36" s="11" t="s">
        <v>11</v>
      </c>
      <c r="C36" s="11" t="s">
        <v>27</v>
      </c>
      <c r="D36" s="11" t="s">
        <v>287</v>
      </c>
      <c r="E36" s="11" t="s">
        <v>156</v>
      </c>
      <c r="F36" s="13" t="s">
        <v>156</v>
      </c>
      <c r="G36" s="10" t="s">
        <v>6</v>
      </c>
      <c r="H36" s="10">
        <v>1</v>
      </c>
      <c r="I36" s="11">
        <v>3</v>
      </c>
      <c r="J36" s="11" t="s">
        <v>477</v>
      </c>
      <c r="K36" s="11" t="s">
        <v>241</v>
      </c>
      <c r="L36" s="11"/>
      <c r="M36" s="1"/>
      <c r="N36" s="1">
        <v>1</v>
      </c>
    </row>
    <row r="37" spans="1:14" ht="55.5" customHeight="1" x14ac:dyDescent="0.25">
      <c r="A37" s="1">
        <v>29</v>
      </c>
      <c r="B37" s="11" t="s">
        <v>11</v>
      </c>
      <c r="C37" s="11" t="s">
        <v>27</v>
      </c>
      <c r="D37" s="11" t="s">
        <v>277</v>
      </c>
      <c r="E37" s="11" t="s">
        <v>249</v>
      </c>
      <c r="F37" s="13" t="s">
        <v>14</v>
      </c>
      <c r="G37" s="11" t="s">
        <v>317</v>
      </c>
      <c r="H37" s="11">
        <v>5</v>
      </c>
      <c r="I37" s="11">
        <v>2</v>
      </c>
      <c r="J37" s="11" t="s">
        <v>474</v>
      </c>
      <c r="K37" s="11"/>
      <c r="L37" s="11"/>
      <c r="M37" s="1"/>
    </row>
    <row r="38" spans="1:14" ht="55.5" customHeight="1" x14ac:dyDescent="0.25">
      <c r="A38" s="1">
        <v>30</v>
      </c>
      <c r="B38" s="10" t="s">
        <v>16</v>
      </c>
      <c r="C38" s="11" t="s">
        <v>12</v>
      </c>
      <c r="D38" s="11" t="s">
        <v>277</v>
      </c>
      <c r="E38" s="11" t="s">
        <v>13</v>
      </c>
      <c r="F38" s="13" t="s">
        <v>15</v>
      </c>
      <c r="G38" s="11" t="s">
        <v>256</v>
      </c>
      <c r="H38" s="11">
        <v>48</v>
      </c>
      <c r="I38" s="11">
        <v>1</v>
      </c>
      <c r="J38" s="11" t="s">
        <v>474</v>
      </c>
      <c r="K38" s="11" t="s">
        <v>175</v>
      </c>
      <c r="L38" s="11"/>
      <c r="M38" s="1"/>
    </row>
    <row r="39" spans="1:14" ht="101.25" customHeight="1" x14ac:dyDescent="0.25">
      <c r="A39" s="1">
        <v>31</v>
      </c>
      <c r="B39" s="10" t="s">
        <v>16</v>
      </c>
      <c r="C39" s="11" t="s">
        <v>18</v>
      </c>
      <c r="D39" s="11" t="s">
        <v>280</v>
      </c>
      <c r="E39" s="11" t="s">
        <v>327</v>
      </c>
      <c r="F39" s="12" t="s">
        <v>326</v>
      </c>
      <c r="G39" s="11" t="s">
        <v>256</v>
      </c>
      <c r="H39" s="11">
        <v>48</v>
      </c>
      <c r="I39" s="11">
        <v>1</v>
      </c>
      <c r="J39" s="11" t="s">
        <v>474</v>
      </c>
      <c r="K39" s="11" t="s">
        <v>238</v>
      </c>
      <c r="L39" s="11"/>
      <c r="M39" s="1"/>
    </row>
    <row r="40" spans="1:14" ht="55.5" customHeight="1" x14ac:dyDescent="0.25">
      <c r="A40" s="1">
        <v>32</v>
      </c>
      <c r="B40" s="10" t="s">
        <v>16</v>
      </c>
      <c r="C40" s="11" t="s">
        <v>18</v>
      </c>
      <c r="D40" s="11" t="s">
        <v>276</v>
      </c>
      <c r="E40" s="11" t="s">
        <v>20</v>
      </c>
      <c r="F40" s="13" t="s">
        <v>19</v>
      </c>
      <c r="G40" s="10" t="s">
        <v>6</v>
      </c>
      <c r="H40" s="10">
        <v>1</v>
      </c>
      <c r="I40" s="11">
        <v>4</v>
      </c>
      <c r="J40" s="11" t="s">
        <v>474</v>
      </c>
      <c r="K40" s="11" t="s">
        <v>307</v>
      </c>
      <c r="L40" s="11"/>
      <c r="M40" s="1"/>
    </row>
    <row r="41" spans="1:14" ht="55.5" customHeight="1" x14ac:dyDescent="0.25">
      <c r="A41" s="1">
        <v>33</v>
      </c>
      <c r="B41" s="11" t="s">
        <v>68</v>
      </c>
      <c r="C41" s="11" t="s">
        <v>8</v>
      </c>
      <c r="D41" s="11" t="s">
        <v>280</v>
      </c>
      <c r="E41" s="11" t="s">
        <v>22</v>
      </c>
      <c r="F41" s="13" t="s">
        <v>21</v>
      </c>
      <c r="G41" s="11" t="s">
        <v>256</v>
      </c>
      <c r="H41" s="11">
        <v>48</v>
      </c>
      <c r="I41" s="11">
        <v>2</v>
      </c>
      <c r="J41" s="11" t="s">
        <v>474</v>
      </c>
      <c r="K41" s="11"/>
      <c r="L41" s="11"/>
      <c r="M41" s="1"/>
    </row>
    <row r="42" spans="1:14" ht="55.5" customHeight="1" x14ac:dyDescent="0.25">
      <c r="A42" s="1">
        <v>34</v>
      </c>
      <c r="B42" s="11" t="s">
        <v>3</v>
      </c>
      <c r="C42" s="11" t="s">
        <v>7</v>
      </c>
      <c r="D42" s="11" t="s">
        <v>280</v>
      </c>
      <c r="E42" s="11" t="s">
        <v>173</v>
      </c>
      <c r="F42" s="13" t="s">
        <v>174</v>
      </c>
      <c r="G42" s="10" t="s">
        <v>6</v>
      </c>
      <c r="H42" s="10">
        <v>1</v>
      </c>
      <c r="I42" s="11">
        <v>1</v>
      </c>
      <c r="J42" s="11" t="s">
        <v>474</v>
      </c>
      <c r="K42" s="11" t="s">
        <v>242</v>
      </c>
      <c r="L42" s="11"/>
      <c r="M42" s="1"/>
    </row>
    <row r="43" spans="1:14" ht="55.5" customHeight="1" x14ac:dyDescent="0.25">
      <c r="A43" s="1">
        <v>35</v>
      </c>
      <c r="B43" s="11" t="s">
        <v>24</v>
      </c>
      <c r="C43" s="11" t="s">
        <v>7</v>
      </c>
      <c r="D43" s="11" t="s">
        <v>280</v>
      </c>
      <c r="E43" s="11" t="s">
        <v>23</v>
      </c>
      <c r="F43" s="13" t="s">
        <v>328</v>
      </c>
      <c r="G43" s="11" t="s">
        <v>6</v>
      </c>
      <c r="H43" s="11">
        <v>1</v>
      </c>
      <c r="I43" s="11">
        <v>2</v>
      </c>
      <c r="J43" s="11" t="s">
        <v>474</v>
      </c>
      <c r="K43" s="11" t="s">
        <v>238</v>
      </c>
      <c r="L43" s="11"/>
      <c r="M43" s="1"/>
    </row>
    <row r="44" spans="1:14" ht="55.5" customHeight="1" x14ac:dyDescent="0.25">
      <c r="A44" s="1">
        <v>36</v>
      </c>
      <c r="B44" s="11" t="s">
        <v>11</v>
      </c>
      <c r="C44" s="11" t="s">
        <v>27</v>
      </c>
      <c r="D44" s="11" t="s">
        <v>288</v>
      </c>
      <c r="E44" s="11" t="s">
        <v>25</v>
      </c>
      <c r="F44" s="12" t="s">
        <v>26</v>
      </c>
      <c r="G44" s="11" t="s">
        <v>52</v>
      </c>
      <c r="H44" s="11">
        <v>12</v>
      </c>
      <c r="I44" s="11">
        <v>1</v>
      </c>
      <c r="J44" s="11" t="s">
        <v>474</v>
      </c>
      <c r="K44" s="11"/>
      <c r="L44" s="11"/>
      <c r="M44" s="1"/>
    </row>
    <row r="45" spans="1:14" ht="55.5" customHeight="1" x14ac:dyDescent="0.25">
      <c r="A45" s="1">
        <v>37</v>
      </c>
      <c r="B45" s="11" t="s">
        <v>11</v>
      </c>
      <c r="C45" s="11" t="s">
        <v>27</v>
      </c>
      <c r="D45" s="11" t="s">
        <v>280</v>
      </c>
      <c r="E45" s="11" t="s">
        <v>160</v>
      </c>
      <c r="F45" s="13" t="s">
        <v>28</v>
      </c>
      <c r="G45" s="11" t="s">
        <v>256</v>
      </c>
      <c r="H45" s="11">
        <v>48</v>
      </c>
      <c r="I45" s="11">
        <v>3</v>
      </c>
      <c r="J45" s="11" t="s">
        <v>474</v>
      </c>
      <c r="K45" s="11"/>
      <c r="L45" s="11"/>
      <c r="M45" s="1"/>
    </row>
    <row r="46" spans="1:14" ht="55.5" customHeight="1" x14ac:dyDescent="0.25">
      <c r="A46" s="1">
        <v>38</v>
      </c>
      <c r="B46" s="11" t="s">
        <v>11</v>
      </c>
      <c r="C46" s="11" t="s">
        <v>27</v>
      </c>
      <c r="D46" s="11" t="s">
        <v>285</v>
      </c>
      <c r="E46" s="11" t="s">
        <v>29</v>
      </c>
      <c r="F46" s="13" t="s">
        <v>251</v>
      </c>
      <c r="G46" s="11" t="s">
        <v>256</v>
      </c>
      <c r="H46" s="11">
        <v>48</v>
      </c>
      <c r="I46" s="11">
        <v>2</v>
      </c>
      <c r="J46" s="11" t="s">
        <v>474</v>
      </c>
      <c r="K46" s="11"/>
      <c r="L46" s="11"/>
      <c r="M46" s="1"/>
    </row>
    <row r="47" spans="1:14" ht="55.5" customHeight="1" x14ac:dyDescent="0.25">
      <c r="A47" s="1">
        <v>39</v>
      </c>
      <c r="B47" s="11" t="s">
        <v>161</v>
      </c>
      <c r="C47" s="11" t="s">
        <v>30</v>
      </c>
      <c r="D47" s="11" t="s">
        <v>298</v>
      </c>
      <c r="E47" s="11" t="s">
        <v>169</v>
      </c>
      <c r="F47" s="13" t="s">
        <v>329</v>
      </c>
      <c r="G47" s="11" t="s">
        <v>52</v>
      </c>
      <c r="H47" s="11">
        <v>12</v>
      </c>
      <c r="I47" s="11">
        <v>1</v>
      </c>
      <c r="J47" s="11" t="s">
        <v>474</v>
      </c>
      <c r="K47" s="11"/>
      <c r="L47" s="11"/>
      <c r="M47" s="1"/>
    </row>
    <row r="48" spans="1:14" ht="55.5" customHeight="1" x14ac:dyDescent="0.25">
      <c r="A48" s="1">
        <v>40</v>
      </c>
      <c r="B48" s="11" t="s">
        <v>11</v>
      </c>
      <c r="C48" s="11" t="s">
        <v>30</v>
      </c>
      <c r="D48" s="11" t="s">
        <v>277</v>
      </c>
      <c r="E48" s="11" t="s">
        <v>170</v>
      </c>
      <c r="F48" s="12" t="s">
        <v>171</v>
      </c>
      <c r="G48" s="11" t="s">
        <v>52</v>
      </c>
      <c r="H48" s="11">
        <v>12</v>
      </c>
      <c r="I48" s="11">
        <v>3</v>
      </c>
      <c r="J48" s="11" t="s">
        <v>474</v>
      </c>
      <c r="K48" s="11" t="s">
        <v>176</v>
      </c>
      <c r="L48" s="11"/>
      <c r="M48" s="1"/>
    </row>
    <row r="49" spans="1:13" ht="55.5" customHeight="1" x14ac:dyDescent="0.25">
      <c r="A49" s="1">
        <v>41</v>
      </c>
      <c r="B49" s="11" t="s">
        <v>11</v>
      </c>
      <c r="C49" s="11" t="s">
        <v>30</v>
      </c>
      <c r="D49" s="11" t="s">
        <v>277</v>
      </c>
      <c r="E49" s="11" t="s">
        <v>172</v>
      </c>
      <c r="F49" s="12" t="s">
        <v>171</v>
      </c>
      <c r="G49" s="11" t="s">
        <v>52</v>
      </c>
      <c r="H49" s="11">
        <v>12</v>
      </c>
      <c r="I49" s="11">
        <v>3</v>
      </c>
      <c r="J49" s="11" t="s">
        <v>474</v>
      </c>
      <c r="K49" s="11" t="s">
        <v>176</v>
      </c>
      <c r="L49" s="11"/>
      <c r="M49" s="1"/>
    </row>
    <row r="50" spans="1:13" ht="55.5" customHeight="1" x14ac:dyDescent="0.25">
      <c r="A50" s="1">
        <v>42</v>
      </c>
      <c r="B50" s="11" t="s">
        <v>11</v>
      </c>
      <c r="C50" s="11" t="s">
        <v>30</v>
      </c>
      <c r="D50" s="11" t="s">
        <v>275</v>
      </c>
      <c r="E50" s="11" t="s">
        <v>31</v>
      </c>
      <c r="F50" s="13" t="s">
        <v>33</v>
      </c>
      <c r="G50" s="11" t="s">
        <v>6</v>
      </c>
      <c r="H50" s="11">
        <v>1</v>
      </c>
      <c r="I50" s="11">
        <v>3</v>
      </c>
      <c r="J50" s="11" t="s">
        <v>474</v>
      </c>
      <c r="K50" s="11"/>
      <c r="L50" s="11"/>
      <c r="M50" s="1"/>
    </row>
    <row r="51" spans="1:13" ht="55.5" customHeight="1" x14ac:dyDescent="0.25">
      <c r="A51" s="1">
        <v>43</v>
      </c>
      <c r="B51" s="11" t="s">
        <v>11</v>
      </c>
      <c r="C51" s="11" t="s">
        <v>30</v>
      </c>
      <c r="D51" s="11" t="s">
        <v>275</v>
      </c>
      <c r="E51" s="11" t="s">
        <v>32</v>
      </c>
      <c r="F51" s="13" t="s">
        <v>34</v>
      </c>
      <c r="G51" s="11" t="s">
        <v>6</v>
      </c>
      <c r="H51" s="11">
        <v>1</v>
      </c>
      <c r="I51" s="11">
        <v>4</v>
      </c>
      <c r="J51" s="11" t="s">
        <v>474</v>
      </c>
      <c r="K51" s="11"/>
      <c r="L51" s="11"/>
      <c r="M51" s="1"/>
    </row>
    <row r="52" spans="1:13" ht="55.5" customHeight="1" x14ac:dyDescent="0.25">
      <c r="A52" s="1">
        <v>44</v>
      </c>
      <c r="B52" s="11" t="s">
        <v>11</v>
      </c>
      <c r="C52" s="11" t="s">
        <v>30</v>
      </c>
      <c r="D52" s="11" t="s">
        <v>285</v>
      </c>
      <c r="E52" s="11" t="s">
        <v>35</v>
      </c>
      <c r="F52" s="13" t="s">
        <v>36</v>
      </c>
      <c r="G52" s="11" t="s">
        <v>253</v>
      </c>
      <c r="H52" s="11">
        <v>1</v>
      </c>
      <c r="I52" s="11">
        <v>4</v>
      </c>
      <c r="J52" s="11" t="s">
        <v>474</v>
      </c>
      <c r="K52" s="11"/>
      <c r="L52" s="11"/>
      <c r="M52" s="1"/>
    </row>
    <row r="53" spans="1:13" ht="55.5" customHeight="1" x14ac:dyDescent="0.25">
      <c r="A53" s="1">
        <v>45</v>
      </c>
      <c r="B53" s="11" t="s">
        <v>11</v>
      </c>
      <c r="C53" s="11" t="s">
        <v>30</v>
      </c>
      <c r="D53" s="11" t="s">
        <v>275</v>
      </c>
      <c r="E53" s="11" t="s">
        <v>37</v>
      </c>
      <c r="F53" s="12" t="s">
        <v>37</v>
      </c>
      <c r="G53" s="10" t="s">
        <v>6</v>
      </c>
      <c r="H53" s="10">
        <v>1</v>
      </c>
      <c r="I53" s="11">
        <v>2</v>
      </c>
      <c r="J53" s="11" t="s">
        <v>474</v>
      </c>
      <c r="K53" s="11" t="s">
        <v>176</v>
      </c>
      <c r="L53" s="11"/>
      <c r="M53" s="1"/>
    </row>
    <row r="54" spans="1:13" ht="55.5" customHeight="1" x14ac:dyDescent="0.25">
      <c r="A54" s="1">
        <v>46</v>
      </c>
      <c r="B54" s="10" t="s">
        <v>38</v>
      </c>
      <c r="C54" s="11" t="s">
        <v>39</v>
      </c>
      <c r="D54" s="11" t="s">
        <v>277</v>
      </c>
      <c r="E54" s="11" t="s">
        <v>42</v>
      </c>
      <c r="F54" s="12" t="s">
        <v>43</v>
      </c>
      <c r="G54" s="11" t="s">
        <v>52</v>
      </c>
      <c r="H54" s="11">
        <v>12</v>
      </c>
      <c r="I54" s="11">
        <v>4</v>
      </c>
      <c r="J54" s="11" t="s">
        <v>474</v>
      </c>
      <c r="K54" s="11"/>
      <c r="L54" s="11"/>
      <c r="M54" s="1"/>
    </row>
    <row r="55" spans="1:13" ht="55.5" customHeight="1" x14ac:dyDescent="0.25">
      <c r="A55" s="1">
        <v>47</v>
      </c>
      <c r="B55" s="10" t="s">
        <v>38</v>
      </c>
      <c r="C55" s="11" t="s">
        <v>39</v>
      </c>
      <c r="D55" s="11" t="s">
        <v>289</v>
      </c>
      <c r="E55" s="11" t="s">
        <v>40</v>
      </c>
      <c r="F55" s="13" t="s">
        <v>41</v>
      </c>
      <c r="G55" s="11" t="s">
        <v>52</v>
      </c>
      <c r="H55" s="11">
        <v>12</v>
      </c>
      <c r="I55" s="11">
        <v>11</v>
      </c>
      <c r="J55" s="11" t="s">
        <v>474</v>
      </c>
      <c r="K55" s="11" t="s">
        <v>240</v>
      </c>
      <c r="L55" s="11"/>
      <c r="M55" s="1"/>
    </row>
    <row r="56" spans="1:13" ht="55.5" customHeight="1" x14ac:dyDescent="0.25">
      <c r="A56" s="1">
        <v>48</v>
      </c>
      <c r="B56" s="10" t="s">
        <v>38</v>
      </c>
      <c r="C56" s="11" t="s">
        <v>39</v>
      </c>
      <c r="D56" s="11" t="s">
        <v>277</v>
      </c>
      <c r="E56" s="11" t="s">
        <v>46</v>
      </c>
      <c r="F56" s="13" t="s">
        <v>44</v>
      </c>
      <c r="G56" s="11" t="s">
        <v>330</v>
      </c>
      <c r="H56" s="11">
        <v>2</v>
      </c>
      <c r="I56" s="11">
        <v>2</v>
      </c>
      <c r="J56" s="11" t="s">
        <v>474</v>
      </c>
      <c r="K56" s="11" t="s">
        <v>238</v>
      </c>
      <c r="L56" s="11"/>
      <c r="M56" s="1"/>
    </row>
    <row r="57" spans="1:13" ht="55.5" customHeight="1" x14ac:dyDescent="0.25">
      <c r="A57" s="1">
        <v>49</v>
      </c>
      <c r="B57" s="11" t="s">
        <v>49</v>
      </c>
      <c r="C57" s="11" t="s">
        <v>90</v>
      </c>
      <c r="D57" s="11" t="s">
        <v>277</v>
      </c>
      <c r="E57" s="11" t="s">
        <v>48</v>
      </c>
      <c r="F57" s="13" t="s">
        <v>47</v>
      </c>
      <c r="G57" s="11" t="s">
        <v>53</v>
      </c>
      <c r="H57" s="11">
        <v>5</v>
      </c>
      <c r="I57" s="11">
        <v>5</v>
      </c>
      <c r="J57" s="11" t="s">
        <v>474</v>
      </c>
      <c r="K57" s="11"/>
      <c r="L57" s="11"/>
      <c r="M57" s="1"/>
    </row>
    <row r="58" spans="1:13" ht="55.5" customHeight="1" x14ac:dyDescent="0.25">
      <c r="A58" s="1">
        <v>50</v>
      </c>
      <c r="B58" s="11" t="s">
        <v>50</v>
      </c>
      <c r="C58" s="11" t="s">
        <v>51</v>
      </c>
      <c r="D58" s="11" t="s">
        <v>277</v>
      </c>
      <c r="E58" s="11" t="s">
        <v>121</v>
      </c>
      <c r="F58" s="13" t="s">
        <v>125</v>
      </c>
      <c r="G58" s="11" t="s">
        <v>6</v>
      </c>
      <c r="H58" s="11">
        <v>1</v>
      </c>
      <c r="I58" s="11">
        <v>1</v>
      </c>
      <c r="J58" s="11" t="s">
        <v>471</v>
      </c>
      <c r="K58" s="11"/>
      <c r="L58" s="11"/>
      <c r="M58" s="1"/>
    </row>
    <row r="59" spans="1:13" ht="55.5" customHeight="1" x14ac:dyDescent="0.25">
      <c r="A59" s="1">
        <v>51</v>
      </c>
      <c r="B59" s="11" t="s">
        <v>50</v>
      </c>
      <c r="C59" s="11" t="s">
        <v>51</v>
      </c>
      <c r="D59" s="11" t="s">
        <v>290</v>
      </c>
      <c r="E59" s="11" t="s">
        <v>124</v>
      </c>
      <c r="F59" s="13" t="s">
        <v>126</v>
      </c>
      <c r="G59" s="11" t="s">
        <v>52</v>
      </c>
      <c r="H59" s="11">
        <v>12</v>
      </c>
      <c r="I59" s="11">
        <v>11</v>
      </c>
      <c r="J59" s="11" t="s">
        <v>471</v>
      </c>
      <c r="K59" s="11"/>
      <c r="L59" s="11"/>
      <c r="M59" s="1"/>
    </row>
    <row r="60" spans="1:13" ht="90" customHeight="1" x14ac:dyDescent="0.25">
      <c r="A60" s="1">
        <v>52</v>
      </c>
      <c r="B60" s="11" t="s">
        <v>50</v>
      </c>
      <c r="C60" s="11" t="s">
        <v>51</v>
      </c>
      <c r="D60" s="11" t="s">
        <v>290</v>
      </c>
      <c r="E60" s="11" t="s">
        <v>122</v>
      </c>
      <c r="F60" s="13" t="s">
        <v>123</v>
      </c>
      <c r="G60" s="11" t="s">
        <v>6</v>
      </c>
      <c r="H60" s="11">
        <v>1</v>
      </c>
      <c r="I60" s="11">
        <v>1</v>
      </c>
      <c r="J60" s="11" t="s">
        <v>471</v>
      </c>
      <c r="K60" s="11"/>
      <c r="L60" s="11"/>
      <c r="M60" s="1"/>
    </row>
    <row r="61" spans="1:13" ht="55.5" customHeight="1" x14ac:dyDescent="0.25">
      <c r="A61" s="1">
        <v>53</v>
      </c>
      <c r="B61" s="11" t="s">
        <v>50</v>
      </c>
      <c r="C61" s="11" t="s">
        <v>51</v>
      </c>
      <c r="D61" s="11" t="s">
        <v>281</v>
      </c>
      <c r="E61" s="11" t="s">
        <v>130</v>
      </c>
      <c r="F61" s="13" t="s">
        <v>129</v>
      </c>
      <c r="G61" s="11" t="s">
        <v>52</v>
      </c>
      <c r="H61" s="11">
        <v>12</v>
      </c>
      <c r="I61" s="11">
        <v>7</v>
      </c>
      <c r="J61" s="11" t="s">
        <v>471</v>
      </c>
      <c r="K61" s="11"/>
      <c r="L61" s="11"/>
      <c r="M61" s="1"/>
    </row>
    <row r="62" spans="1:13" ht="55.5" customHeight="1" x14ac:dyDescent="0.25">
      <c r="A62" s="1">
        <v>54</v>
      </c>
      <c r="B62" s="11" t="s">
        <v>50</v>
      </c>
      <c r="C62" s="11" t="s">
        <v>51</v>
      </c>
      <c r="D62" s="11" t="s">
        <v>282</v>
      </c>
      <c r="E62" s="11" t="s">
        <v>127</v>
      </c>
      <c r="F62" s="13" t="s">
        <v>128</v>
      </c>
      <c r="G62" s="11" t="s">
        <v>52</v>
      </c>
      <c r="H62" s="11">
        <v>12</v>
      </c>
      <c r="I62" s="11">
        <v>8</v>
      </c>
      <c r="J62" s="11" t="s">
        <v>471</v>
      </c>
      <c r="K62" s="11"/>
      <c r="L62" s="11"/>
      <c r="M62" s="1"/>
    </row>
    <row r="63" spans="1:13" ht="115.5" customHeight="1" x14ac:dyDescent="0.25">
      <c r="A63" s="1">
        <v>55</v>
      </c>
      <c r="B63" s="11" t="s">
        <v>54</v>
      </c>
      <c r="C63" s="11" t="s">
        <v>131</v>
      </c>
      <c r="D63" s="11" t="s">
        <v>281</v>
      </c>
      <c r="E63" s="11" t="s">
        <v>136</v>
      </c>
      <c r="F63" s="13" t="s">
        <v>132</v>
      </c>
      <c r="G63" s="11" t="s">
        <v>254</v>
      </c>
      <c r="H63" s="11">
        <v>20</v>
      </c>
      <c r="I63" s="11">
        <v>20</v>
      </c>
      <c r="J63" s="11" t="s">
        <v>484</v>
      </c>
      <c r="K63" s="11" t="s">
        <v>483</v>
      </c>
      <c r="L63" s="11"/>
      <c r="M63" s="1"/>
    </row>
    <row r="64" spans="1:13" ht="108" customHeight="1" x14ac:dyDescent="0.25">
      <c r="A64" s="1">
        <v>56</v>
      </c>
      <c r="B64" s="11" t="s">
        <v>54</v>
      </c>
      <c r="C64" s="11" t="s">
        <v>131</v>
      </c>
      <c r="D64" s="11" t="s">
        <v>281</v>
      </c>
      <c r="E64" s="11" t="s">
        <v>151</v>
      </c>
      <c r="F64" s="13" t="s">
        <v>133</v>
      </c>
      <c r="G64" s="11" t="s">
        <v>254</v>
      </c>
      <c r="H64" s="11">
        <v>20</v>
      </c>
      <c r="I64" s="11">
        <v>20</v>
      </c>
      <c r="J64" s="11" t="s">
        <v>485</v>
      </c>
      <c r="K64" s="11"/>
      <c r="L64" s="11"/>
      <c r="M64" s="1"/>
    </row>
    <row r="65" spans="1:13" ht="55.5" customHeight="1" x14ac:dyDescent="0.25">
      <c r="A65" s="1">
        <v>57</v>
      </c>
      <c r="B65" s="11" t="s">
        <v>54</v>
      </c>
      <c r="C65" s="11" t="s">
        <v>131</v>
      </c>
      <c r="D65" s="11" t="s">
        <v>282</v>
      </c>
      <c r="E65" s="11" t="s">
        <v>134</v>
      </c>
      <c r="F65" s="13" t="s">
        <v>135</v>
      </c>
      <c r="G65" s="11" t="s">
        <v>254</v>
      </c>
      <c r="H65" s="11">
        <v>20</v>
      </c>
      <c r="I65" s="11">
        <v>20</v>
      </c>
      <c r="J65" s="11" t="s">
        <v>478</v>
      </c>
      <c r="K65" s="11"/>
      <c r="L65" s="11"/>
      <c r="M65" s="1"/>
    </row>
    <row r="66" spans="1:13" ht="102.75" customHeight="1" x14ac:dyDescent="0.25">
      <c r="A66" s="1">
        <v>58</v>
      </c>
      <c r="B66" s="11" t="s">
        <v>54</v>
      </c>
      <c r="C66" s="11" t="s">
        <v>137</v>
      </c>
      <c r="D66" s="11" t="s">
        <v>281</v>
      </c>
      <c r="E66" s="11" t="s">
        <v>138</v>
      </c>
      <c r="F66" s="13" t="s">
        <v>139</v>
      </c>
      <c r="G66" s="11" t="s">
        <v>254</v>
      </c>
      <c r="H66" s="11">
        <v>20</v>
      </c>
      <c r="I66" s="11">
        <v>20</v>
      </c>
      <c r="J66" s="11" t="s">
        <v>140</v>
      </c>
      <c r="K66" s="11"/>
      <c r="L66" s="11"/>
      <c r="M66" s="1"/>
    </row>
    <row r="67" spans="1:13" ht="55.5" customHeight="1" x14ac:dyDescent="0.25">
      <c r="A67" s="1">
        <v>59</v>
      </c>
      <c r="B67" s="11" t="s">
        <v>54</v>
      </c>
      <c r="C67" s="11" t="s">
        <v>131</v>
      </c>
      <c r="D67" s="11" t="s">
        <v>282</v>
      </c>
      <c r="E67" s="11" t="s">
        <v>142</v>
      </c>
      <c r="F67" s="13" t="s">
        <v>143</v>
      </c>
      <c r="G67" s="11" t="s">
        <v>254</v>
      </c>
      <c r="H67" s="11">
        <v>20</v>
      </c>
      <c r="I67" s="11">
        <v>20</v>
      </c>
      <c r="J67" s="11" t="s">
        <v>474</v>
      </c>
      <c r="K67" s="11"/>
      <c r="L67" s="11"/>
      <c r="M67" s="1"/>
    </row>
    <row r="68" spans="1:13" ht="55.5" customHeight="1" x14ac:dyDescent="0.25">
      <c r="A68" s="1">
        <v>60</v>
      </c>
      <c r="B68" s="11" t="s">
        <v>54</v>
      </c>
      <c r="C68" s="11" t="s">
        <v>144</v>
      </c>
      <c r="D68" s="11" t="s">
        <v>281</v>
      </c>
      <c r="E68" s="11" t="s">
        <v>145</v>
      </c>
      <c r="F68" s="13" t="s">
        <v>146</v>
      </c>
      <c r="G68" s="11" t="s">
        <v>254</v>
      </c>
      <c r="H68" s="11">
        <v>20</v>
      </c>
      <c r="I68" s="11">
        <v>20</v>
      </c>
      <c r="J68" s="11" t="s">
        <v>147</v>
      </c>
      <c r="K68" s="11"/>
      <c r="L68" s="11"/>
      <c r="M68" s="1"/>
    </row>
    <row r="69" spans="1:13" ht="55.5" customHeight="1" x14ac:dyDescent="0.25">
      <c r="A69" s="1">
        <v>61</v>
      </c>
      <c r="B69" s="11" t="s">
        <v>54</v>
      </c>
      <c r="C69" s="11" t="s">
        <v>144</v>
      </c>
      <c r="D69" s="11" t="s">
        <v>281</v>
      </c>
      <c r="E69" s="11" t="s">
        <v>141</v>
      </c>
      <c r="F69" s="13" t="s">
        <v>148</v>
      </c>
      <c r="G69" s="11" t="s">
        <v>254</v>
      </c>
      <c r="H69" s="11">
        <v>20</v>
      </c>
      <c r="I69" s="11">
        <v>20</v>
      </c>
      <c r="J69" s="11" t="s">
        <v>147</v>
      </c>
      <c r="K69" s="11"/>
      <c r="L69" s="11"/>
      <c r="M69" s="1"/>
    </row>
    <row r="70" spans="1:13" ht="55.5" customHeight="1" x14ac:dyDescent="0.25">
      <c r="A70" s="1">
        <v>62</v>
      </c>
      <c r="B70" s="11" t="s">
        <v>54</v>
      </c>
      <c r="C70" s="11" t="s">
        <v>144</v>
      </c>
      <c r="D70" s="11" t="s">
        <v>282</v>
      </c>
      <c r="E70" s="11" t="s">
        <v>149</v>
      </c>
      <c r="F70" s="13" t="s">
        <v>150</v>
      </c>
      <c r="G70" s="11" t="s">
        <v>254</v>
      </c>
      <c r="H70" s="11">
        <v>20</v>
      </c>
      <c r="I70" s="11">
        <v>20</v>
      </c>
      <c r="J70" s="11" t="s">
        <v>481</v>
      </c>
      <c r="K70" s="11"/>
      <c r="L70" s="11"/>
      <c r="M70" s="1"/>
    </row>
    <row r="71" spans="1:13" ht="55.5" customHeight="1" x14ac:dyDescent="0.25">
      <c r="A71" s="1">
        <v>63</v>
      </c>
      <c r="B71" s="11" t="s">
        <v>0</v>
      </c>
      <c r="C71" s="11" t="s">
        <v>206</v>
      </c>
      <c r="D71" s="11" t="s">
        <v>275</v>
      </c>
      <c r="E71" s="11" t="s">
        <v>57</v>
      </c>
      <c r="F71" s="13" t="s">
        <v>55</v>
      </c>
      <c r="G71" s="10" t="s">
        <v>6</v>
      </c>
      <c r="H71" s="10">
        <v>2</v>
      </c>
      <c r="I71" s="11">
        <v>2</v>
      </c>
      <c r="J71" s="11" t="s">
        <v>72</v>
      </c>
      <c r="K71" s="11" t="s">
        <v>238</v>
      </c>
      <c r="L71" s="11"/>
      <c r="M71" s="1"/>
    </row>
    <row r="72" spans="1:13" ht="55.5" customHeight="1" x14ac:dyDescent="0.25">
      <c r="A72" s="1">
        <v>64</v>
      </c>
      <c r="B72" s="11" t="s">
        <v>0</v>
      </c>
      <c r="C72" s="11" t="s">
        <v>206</v>
      </c>
      <c r="D72" s="11" t="s">
        <v>275</v>
      </c>
      <c r="E72" s="11" t="s">
        <v>56</v>
      </c>
      <c r="F72" s="13" t="s">
        <v>58</v>
      </c>
      <c r="G72" s="10" t="s">
        <v>6</v>
      </c>
      <c r="H72" s="10">
        <v>1</v>
      </c>
      <c r="I72" s="11">
        <v>1</v>
      </c>
      <c r="J72" s="11" t="s">
        <v>72</v>
      </c>
      <c r="K72" s="11" t="s">
        <v>238</v>
      </c>
      <c r="L72" s="11"/>
      <c r="M72" s="1"/>
    </row>
    <row r="73" spans="1:13" ht="55.5" customHeight="1" x14ac:dyDescent="0.25">
      <c r="A73" s="1">
        <v>65</v>
      </c>
      <c r="B73" s="11" t="s">
        <v>17</v>
      </c>
      <c r="C73" s="11" t="s">
        <v>246</v>
      </c>
      <c r="D73" s="11" t="s">
        <v>275</v>
      </c>
      <c r="E73" s="11" t="s">
        <v>59</v>
      </c>
      <c r="F73" s="12" t="s">
        <v>331</v>
      </c>
      <c r="G73" s="11" t="s">
        <v>53</v>
      </c>
      <c r="H73" s="11">
        <v>5</v>
      </c>
      <c r="I73" s="11">
        <v>4</v>
      </c>
      <c r="J73" s="11" t="s">
        <v>205</v>
      </c>
      <c r="K73" s="11"/>
      <c r="L73" s="11"/>
      <c r="M73" s="1"/>
    </row>
    <row r="74" spans="1:13" ht="55.5" customHeight="1" x14ac:dyDescent="0.25">
      <c r="A74" s="1">
        <v>66</v>
      </c>
      <c r="B74" s="11" t="s">
        <v>17</v>
      </c>
      <c r="C74" s="11" t="s">
        <v>246</v>
      </c>
      <c r="D74" s="11" t="s">
        <v>280</v>
      </c>
      <c r="E74" s="11" t="s">
        <v>60</v>
      </c>
      <c r="F74" s="13" t="s">
        <v>61</v>
      </c>
      <c r="G74" s="11" t="s">
        <v>53</v>
      </c>
      <c r="H74" s="10">
        <v>5</v>
      </c>
      <c r="I74" s="11">
        <v>5</v>
      </c>
      <c r="J74" s="11" t="s">
        <v>332</v>
      </c>
      <c r="K74" s="11"/>
      <c r="L74" s="11"/>
      <c r="M74" s="1"/>
    </row>
    <row r="75" spans="1:13" ht="55.5" customHeight="1" x14ac:dyDescent="0.25">
      <c r="A75" s="1">
        <v>67</v>
      </c>
      <c r="B75" s="11" t="s">
        <v>17</v>
      </c>
      <c r="C75" s="11" t="s">
        <v>247</v>
      </c>
      <c r="D75" s="11" t="s">
        <v>292</v>
      </c>
      <c r="E75" s="11" t="s">
        <v>62</v>
      </c>
      <c r="F75" s="13" t="s">
        <v>65</v>
      </c>
      <c r="G75" s="11" t="s">
        <v>53</v>
      </c>
      <c r="H75" s="11">
        <v>5</v>
      </c>
      <c r="I75" s="11">
        <v>5</v>
      </c>
      <c r="J75" s="11" t="s">
        <v>332</v>
      </c>
      <c r="K75" s="11"/>
      <c r="L75" s="11"/>
      <c r="M75" s="1"/>
    </row>
    <row r="76" spans="1:13" ht="96" customHeight="1" x14ac:dyDescent="0.25">
      <c r="A76" s="1">
        <v>68</v>
      </c>
      <c r="B76" s="11" t="s">
        <v>17</v>
      </c>
      <c r="C76" s="11" t="s">
        <v>247</v>
      </c>
      <c r="D76" s="11" t="s">
        <v>280</v>
      </c>
      <c r="E76" s="11" t="s">
        <v>63</v>
      </c>
      <c r="F76" s="12" t="s">
        <v>64</v>
      </c>
      <c r="G76" s="11" t="s">
        <v>256</v>
      </c>
      <c r="H76" s="11">
        <v>48</v>
      </c>
      <c r="I76" s="11">
        <v>46</v>
      </c>
      <c r="J76" s="11" t="s">
        <v>260</v>
      </c>
      <c r="K76" s="11"/>
      <c r="L76" s="11"/>
      <c r="M76" s="1"/>
    </row>
    <row r="77" spans="1:13" ht="55.5" customHeight="1" x14ac:dyDescent="0.25">
      <c r="A77" s="1">
        <v>69</v>
      </c>
      <c r="B77" s="11" t="s">
        <v>68</v>
      </c>
      <c r="C77" s="11" t="s">
        <v>244</v>
      </c>
      <c r="D77" s="11" t="s">
        <v>299</v>
      </c>
      <c r="E77" s="11" t="s">
        <v>66</v>
      </c>
      <c r="F77" s="12" t="s">
        <v>67</v>
      </c>
      <c r="G77" s="10" t="s">
        <v>255</v>
      </c>
      <c r="H77" s="10">
        <v>25</v>
      </c>
      <c r="I77" s="11">
        <v>24</v>
      </c>
      <c r="J77" s="10" t="s">
        <v>482</v>
      </c>
      <c r="K77" s="11"/>
      <c r="L77" s="11" t="s">
        <v>333</v>
      </c>
      <c r="M77" s="1"/>
    </row>
    <row r="78" spans="1:13" ht="55.5" customHeight="1" x14ac:dyDescent="0.25">
      <c r="A78" s="1">
        <v>70</v>
      </c>
      <c r="B78" s="11" t="s">
        <v>68</v>
      </c>
      <c r="C78" s="11" t="s">
        <v>244</v>
      </c>
      <c r="D78" s="11" t="s">
        <v>282</v>
      </c>
      <c r="E78" s="11" t="s">
        <v>69</v>
      </c>
      <c r="F78" s="13" t="s">
        <v>70</v>
      </c>
      <c r="G78" s="10" t="s">
        <v>255</v>
      </c>
      <c r="H78" s="10">
        <v>25</v>
      </c>
      <c r="I78" s="11">
        <v>25</v>
      </c>
      <c r="J78" s="10" t="s">
        <v>482</v>
      </c>
      <c r="K78" s="11"/>
      <c r="L78" s="11"/>
      <c r="M78" s="1"/>
    </row>
    <row r="79" spans="1:13" ht="55.5" customHeight="1" x14ac:dyDescent="0.25">
      <c r="A79" s="1">
        <v>71</v>
      </c>
      <c r="B79" s="11" t="s">
        <v>17</v>
      </c>
      <c r="C79" s="11" t="s">
        <v>248</v>
      </c>
      <c r="D79" s="11" t="s">
        <v>291</v>
      </c>
      <c r="E79" s="11" t="s">
        <v>71</v>
      </c>
      <c r="F79" s="12" t="s">
        <v>459</v>
      </c>
      <c r="G79" s="10" t="s">
        <v>6</v>
      </c>
      <c r="H79" s="10">
        <v>1</v>
      </c>
      <c r="I79" s="11">
        <v>1</v>
      </c>
      <c r="J79" s="11" t="s">
        <v>263</v>
      </c>
      <c r="K79" s="11"/>
      <c r="L79" s="11"/>
      <c r="M79" s="1"/>
    </row>
    <row r="80" spans="1:13" ht="55.5" customHeight="1" x14ac:dyDescent="0.25">
      <c r="A80" s="1">
        <v>72</v>
      </c>
      <c r="B80" s="11" t="s">
        <v>17</v>
      </c>
      <c r="C80" s="11" t="s">
        <v>245</v>
      </c>
      <c r="D80" s="11" t="s">
        <v>293</v>
      </c>
      <c r="E80" s="11" t="s">
        <v>75</v>
      </c>
      <c r="F80" s="13" t="s">
        <v>74</v>
      </c>
      <c r="G80" s="11" t="s">
        <v>6</v>
      </c>
      <c r="H80" s="11">
        <v>1</v>
      </c>
      <c r="I80" s="11">
        <v>1</v>
      </c>
      <c r="J80" s="11" t="s">
        <v>72</v>
      </c>
      <c r="K80" s="11"/>
      <c r="L80" s="11" t="s">
        <v>334</v>
      </c>
      <c r="M80" s="1"/>
    </row>
    <row r="81" spans="1:17" ht="55.5" customHeight="1" x14ac:dyDescent="0.25">
      <c r="A81" s="1">
        <v>73</v>
      </c>
      <c r="B81" s="11" t="s">
        <v>17</v>
      </c>
      <c r="C81" s="11" t="s">
        <v>245</v>
      </c>
      <c r="D81" s="11" t="s">
        <v>283</v>
      </c>
      <c r="E81" s="11" t="s">
        <v>76</v>
      </c>
      <c r="F81" s="13" t="s">
        <v>77</v>
      </c>
      <c r="G81" s="11" t="s">
        <v>52</v>
      </c>
      <c r="H81" s="11">
        <v>12</v>
      </c>
      <c r="I81" s="11">
        <v>11</v>
      </c>
      <c r="J81" s="11" t="s">
        <v>73</v>
      </c>
      <c r="K81" s="11"/>
      <c r="L81" s="11"/>
      <c r="M81" s="1"/>
    </row>
    <row r="82" spans="1:17" ht="55.5" customHeight="1" x14ac:dyDescent="0.25">
      <c r="A82" s="1">
        <v>74</v>
      </c>
      <c r="B82" s="11" t="s">
        <v>17</v>
      </c>
      <c r="C82" s="11" t="s">
        <v>245</v>
      </c>
      <c r="D82" s="11" t="s">
        <v>283</v>
      </c>
      <c r="E82" s="11" t="s">
        <v>78</v>
      </c>
      <c r="F82" s="13" t="s">
        <v>79</v>
      </c>
      <c r="G82" s="11" t="s">
        <v>52</v>
      </c>
      <c r="H82" s="11">
        <v>12</v>
      </c>
      <c r="I82" s="11">
        <v>12</v>
      </c>
      <c r="J82" s="11" t="s">
        <v>73</v>
      </c>
      <c r="K82" s="11"/>
      <c r="L82" s="11"/>
      <c r="M82" s="1"/>
    </row>
    <row r="83" spans="1:17" ht="55.5" customHeight="1" x14ac:dyDescent="0.25">
      <c r="A83" s="1">
        <v>75</v>
      </c>
      <c r="B83" s="11" t="s">
        <v>10</v>
      </c>
      <c r="C83" s="11" t="s">
        <v>80</v>
      </c>
      <c r="D83" s="11" t="s">
        <v>281</v>
      </c>
      <c r="E83" s="11" t="s">
        <v>81</v>
      </c>
      <c r="F83" s="13" t="s">
        <v>82</v>
      </c>
      <c r="G83" s="10" t="s">
        <v>6</v>
      </c>
      <c r="H83" s="10">
        <v>1</v>
      </c>
      <c r="I83" s="11">
        <v>1</v>
      </c>
      <c r="J83" s="11" t="s">
        <v>85</v>
      </c>
      <c r="K83" s="11"/>
      <c r="L83" s="11"/>
      <c r="M83" s="1"/>
    </row>
    <row r="84" spans="1:17" ht="55.5" customHeight="1" x14ac:dyDescent="0.25">
      <c r="A84" s="1">
        <v>76</v>
      </c>
      <c r="B84" s="11" t="s">
        <v>10</v>
      </c>
      <c r="C84" s="11" t="s">
        <v>80</v>
      </c>
      <c r="D84" s="11" t="s">
        <v>285</v>
      </c>
      <c r="E84" s="11" t="s">
        <v>83</v>
      </c>
      <c r="F84" s="13" t="s">
        <v>84</v>
      </c>
      <c r="G84" s="10" t="s">
        <v>6</v>
      </c>
      <c r="H84" s="10">
        <v>1</v>
      </c>
      <c r="I84" s="11">
        <v>1</v>
      </c>
      <c r="J84" s="11" t="s">
        <v>261</v>
      </c>
      <c r="K84" s="11"/>
      <c r="L84" s="11"/>
      <c r="M84" s="1"/>
    </row>
    <row r="85" spans="1:17" ht="55.5" customHeight="1" x14ac:dyDescent="0.25">
      <c r="A85" s="1">
        <v>77</v>
      </c>
      <c r="B85" s="11" t="s">
        <v>10</v>
      </c>
      <c r="C85" s="11" t="s">
        <v>86</v>
      </c>
      <c r="D85" s="11" t="s">
        <v>281</v>
      </c>
      <c r="E85" s="11" t="s">
        <v>87</v>
      </c>
      <c r="F85" s="13" t="s">
        <v>89</v>
      </c>
      <c r="G85" s="10" t="s">
        <v>6</v>
      </c>
      <c r="H85" s="10">
        <v>1</v>
      </c>
      <c r="I85" s="11">
        <v>1</v>
      </c>
      <c r="J85" s="11" t="s">
        <v>259</v>
      </c>
      <c r="K85" s="11"/>
      <c r="L85" s="11"/>
      <c r="M85" s="1"/>
    </row>
    <row r="86" spans="1:17" ht="55.5" customHeight="1" x14ac:dyDescent="0.25">
      <c r="A86" s="1">
        <v>78</v>
      </c>
      <c r="B86" s="11" t="s">
        <v>10</v>
      </c>
      <c r="C86" s="11" t="s">
        <v>86</v>
      </c>
      <c r="D86" s="11" t="s">
        <v>285</v>
      </c>
      <c r="E86" s="11" t="s">
        <v>88</v>
      </c>
      <c r="F86" s="13" t="s">
        <v>84</v>
      </c>
      <c r="G86" s="10" t="s">
        <v>6</v>
      </c>
      <c r="H86" s="10">
        <v>1</v>
      </c>
      <c r="I86" s="11">
        <v>1</v>
      </c>
      <c r="J86" s="11" t="s">
        <v>262</v>
      </c>
      <c r="K86" s="11"/>
      <c r="L86" s="11"/>
      <c r="M86" s="1"/>
    </row>
    <row r="87" spans="1:17" s="5" customFormat="1" ht="55.5" customHeight="1" x14ac:dyDescent="0.25">
      <c r="A87" s="1">
        <v>79</v>
      </c>
      <c r="B87" s="10" t="s">
        <v>0</v>
      </c>
      <c r="C87" s="10" t="s">
        <v>201</v>
      </c>
      <c r="D87" s="11" t="s">
        <v>277</v>
      </c>
      <c r="E87" s="10" t="s">
        <v>250</v>
      </c>
      <c r="F87" s="13" t="s">
        <v>177</v>
      </c>
      <c r="G87" s="11" t="s">
        <v>52</v>
      </c>
      <c r="H87" s="11">
        <v>12</v>
      </c>
      <c r="I87" s="11">
        <v>12</v>
      </c>
      <c r="J87" s="11" t="s">
        <v>474</v>
      </c>
      <c r="K87" s="11" t="s">
        <v>240</v>
      </c>
      <c r="L87" s="11"/>
    </row>
    <row r="88" spans="1:17" s="5" customFormat="1" ht="55.5" customHeight="1" x14ac:dyDescent="0.25">
      <c r="A88" s="1">
        <v>80</v>
      </c>
      <c r="B88" s="10" t="s">
        <v>3</v>
      </c>
      <c r="C88" s="10" t="s">
        <v>207</v>
      </c>
      <c r="D88" s="11" t="s">
        <v>288</v>
      </c>
      <c r="E88" s="10" t="s">
        <v>179</v>
      </c>
      <c r="F88" s="13" t="s">
        <v>178</v>
      </c>
      <c r="G88" s="11" t="s">
        <v>52</v>
      </c>
      <c r="H88" s="11">
        <v>12</v>
      </c>
      <c r="I88" s="11">
        <v>12</v>
      </c>
      <c r="J88" s="11" t="s">
        <v>474</v>
      </c>
      <c r="K88" s="11"/>
      <c r="L88" s="11"/>
    </row>
    <row r="89" spans="1:17" s="5" customFormat="1" ht="55.5" customHeight="1" x14ac:dyDescent="0.25">
      <c r="A89" s="1">
        <v>81</v>
      </c>
      <c r="B89" s="11" t="s">
        <v>11</v>
      </c>
      <c r="C89" s="11" t="s">
        <v>27</v>
      </c>
      <c r="D89" s="11" t="s">
        <v>294</v>
      </c>
      <c r="E89" s="11" t="s">
        <v>180</v>
      </c>
      <c r="F89" s="13" t="s">
        <v>183</v>
      </c>
      <c r="G89" s="11" t="s">
        <v>52</v>
      </c>
      <c r="H89" s="11">
        <v>12</v>
      </c>
      <c r="I89" s="11">
        <v>12</v>
      </c>
      <c r="J89" s="11" t="s">
        <v>474</v>
      </c>
      <c r="K89" s="11"/>
      <c r="L89" s="11"/>
    </row>
    <row r="90" spans="1:17" s="5" customFormat="1" ht="55.5" customHeight="1" x14ac:dyDescent="0.25">
      <c r="A90" s="1">
        <v>82</v>
      </c>
      <c r="B90" s="11" t="s">
        <v>68</v>
      </c>
      <c r="C90" s="11" t="s">
        <v>8</v>
      </c>
      <c r="D90" s="11" t="s">
        <v>277</v>
      </c>
      <c r="E90" s="11" t="s">
        <v>181</v>
      </c>
      <c r="F90" s="13" t="s">
        <v>182</v>
      </c>
      <c r="G90" s="11" t="s">
        <v>52</v>
      </c>
      <c r="H90" s="11">
        <v>12</v>
      </c>
      <c r="I90" s="11">
        <v>10</v>
      </c>
      <c r="J90" s="11" t="s">
        <v>474</v>
      </c>
      <c r="K90" s="11"/>
      <c r="L90" s="11"/>
    </row>
    <row r="91" spans="1:17" s="5" customFormat="1" ht="55.5" customHeight="1" x14ac:dyDescent="0.25">
      <c r="A91" s="1">
        <v>83</v>
      </c>
      <c r="B91" s="10" t="s">
        <v>11</v>
      </c>
      <c r="C91" s="10" t="s">
        <v>27</v>
      </c>
      <c r="D91" s="11" t="s">
        <v>280</v>
      </c>
      <c r="E91" s="10" t="s">
        <v>185</v>
      </c>
      <c r="F91" s="13" t="s">
        <v>209</v>
      </c>
      <c r="G91" s="11" t="s">
        <v>52</v>
      </c>
      <c r="H91" s="11">
        <v>12</v>
      </c>
      <c r="I91" s="11">
        <v>11</v>
      </c>
      <c r="J91" s="11" t="s">
        <v>474</v>
      </c>
      <c r="K91" s="11" t="s">
        <v>243</v>
      </c>
      <c r="L91" s="11"/>
    </row>
    <row r="92" spans="1:17" s="5" customFormat="1" ht="55.5" customHeight="1" x14ac:dyDescent="0.25">
      <c r="A92" s="1">
        <v>84</v>
      </c>
      <c r="B92" s="10" t="s">
        <v>11</v>
      </c>
      <c r="C92" s="10" t="s">
        <v>27</v>
      </c>
      <c r="D92" s="11" t="s">
        <v>275</v>
      </c>
      <c r="E92" s="10" t="s">
        <v>210</v>
      </c>
      <c r="F92" s="13" t="s">
        <v>211</v>
      </c>
      <c r="G92" s="10" t="s">
        <v>6</v>
      </c>
      <c r="H92" s="10">
        <v>1</v>
      </c>
      <c r="I92" s="11">
        <v>1</v>
      </c>
      <c r="J92" s="11" t="s">
        <v>474</v>
      </c>
      <c r="K92" s="11" t="s">
        <v>243</v>
      </c>
      <c r="L92" s="11"/>
      <c r="M92" s="4"/>
      <c r="N92" s="4"/>
      <c r="O92" s="4"/>
      <c r="P92" s="4"/>
      <c r="Q92" s="4"/>
    </row>
    <row r="93" spans="1:17" s="5" customFormat="1" ht="87.75" customHeight="1" x14ac:dyDescent="0.25">
      <c r="A93" s="1">
        <v>85</v>
      </c>
      <c r="B93" s="14" t="s">
        <v>45</v>
      </c>
      <c r="C93" s="10" t="s">
        <v>198</v>
      </c>
      <c r="D93" s="11" t="s">
        <v>275</v>
      </c>
      <c r="E93" s="10" t="s">
        <v>196</v>
      </c>
      <c r="F93" s="13" t="s">
        <v>197</v>
      </c>
      <c r="G93" s="10" t="s">
        <v>6</v>
      </c>
      <c r="H93" s="10">
        <v>1</v>
      </c>
      <c r="I93" s="11">
        <v>1</v>
      </c>
      <c r="J93" s="11" t="s">
        <v>72</v>
      </c>
      <c r="K93" s="10"/>
      <c r="L93" s="10" t="s">
        <v>335</v>
      </c>
      <c r="M93" s="4"/>
      <c r="N93" s="4"/>
      <c r="O93" s="4"/>
      <c r="P93" s="4"/>
      <c r="Q93" s="4"/>
    </row>
    <row r="94" spans="1:17" ht="55.5" customHeight="1" x14ac:dyDescent="0.25">
      <c r="A94" s="1">
        <v>86</v>
      </c>
      <c r="B94" s="11" t="s">
        <v>54</v>
      </c>
      <c r="C94" s="10" t="s">
        <v>199</v>
      </c>
      <c r="D94" s="11" t="s">
        <v>275</v>
      </c>
      <c r="E94" s="11" t="s">
        <v>190</v>
      </c>
      <c r="F94" s="13" t="s">
        <v>191</v>
      </c>
      <c r="G94" s="10" t="s">
        <v>6</v>
      </c>
      <c r="H94" s="10">
        <v>1</v>
      </c>
      <c r="I94" s="11">
        <v>1</v>
      </c>
      <c r="J94" s="11" t="s">
        <v>72</v>
      </c>
      <c r="K94" s="11"/>
      <c r="L94" s="11" t="s">
        <v>336</v>
      </c>
      <c r="M94" s="1"/>
    </row>
    <row r="95" spans="1:17" s="5" customFormat="1" ht="55.5" customHeight="1" x14ac:dyDescent="0.25">
      <c r="A95" s="1">
        <v>87</v>
      </c>
      <c r="B95" s="11" t="s">
        <v>54</v>
      </c>
      <c r="C95" s="10" t="s">
        <v>200</v>
      </c>
      <c r="D95" s="11" t="s">
        <v>285</v>
      </c>
      <c r="E95" s="10" t="s">
        <v>186</v>
      </c>
      <c r="F95" s="13" t="s">
        <v>189</v>
      </c>
      <c r="G95" s="10" t="s">
        <v>6</v>
      </c>
      <c r="H95" s="10">
        <v>1</v>
      </c>
      <c r="I95" s="11">
        <v>1</v>
      </c>
      <c r="J95" s="11" t="s">
        <v>72</v>
      </c>
      <c r="K95" s="10"/>
      <c r="L95" s="10"/>
      <c r="M95" s="4"/>
      <c r="N95" s="4"/>
      <c r="O95" s="4"/>
      <c r="P95" s="4"/>
      <c r="Q95" s="4"/>
    </row>
    <row r="96" spans="1:17" s="5" customFormat="1" ht="85.5" customHeight="1" x14ac:dyDescent="0.25">
      <c r="A96" s="1">
        <v>88</v>
      </c>
      <c r="B96" s="11" t="s">
        <v>54</v>
      </c>
      <c r="C96" s="10" t="s">
        <v>187</v>
      </c>
      <c r="D96" s="11" t="s">
        <v>275</v>
      </c>
      <c r="E96" s="10" t="s">
        <v>187</v>
      </c>
      <c r="F96" s="13" t="s">
        <v>192</v>
      </c>
      <c r="G96" s="10" t="s">
        <v>6</v>
      </c>
      <c r="H96" s="10">
        <v>1</v>
      </c>
      <c r="I96" s="11">
        <v>1</v>
      </c>
      <c r="J96" s="11" t="s">
        <v>72</v>
      </c>
      <c r="K96" s="10"/>
      <c r="L96" s="10"/>
      <c r="M96" s="4"/>
      <c r="N96" s="4"/>
      <c r="O96" s="4"/>
      <c r="P96" s="4"/>
      <c r="Q96" s="4"/>
    </row>
    <row r="97" spans="1:17" s="5" customFormat="1" ht="55.5" customHeight="1" x14ac:dyDescent="0.25">
      <c r="A97" s="1">
        <v>89</v>
      </c>
      <c r="B97" s="11" t="s">
        <v>54</v>
      </c>
      <c r="C97" s="10" t="s">
        <v>188</v>
      </c>
      <c r="D97" s="11" t="s">
        <v>275</v>
      </c>
      <c r="E97" s="10" t="s">
        <v>188</v>
      </c>
      <c r="F97" s="13" t="s">
        <v>193</v>
      </c>
      <c r="G97" s="10" t="s">
        <v>6</v>
      </c>
      <c r="H97" s="10">
        <v>1</v>
      </c>
      <c r="I97" s="11">
        <v>1</v>
      </c>
      <c r="J97" s="11" t="s">
        <v>72</v>
      </c>
      <c r="K97" s="10"/>
      <c r="L97" s="10"/>
      <c r="M97" s="4"/>
      <c r="N97" s="4"/>
      <c r="O97" s="4"/>
      <c r="P97" s="4"/>
      <c r="Q97" s="4"/>
    </row>
    <row r="98" spans="1:17" s="5" customFormat="1" ht="55.5" customHeight="1" x14ac:dyDescent="0.25">
      <c r="A98" s="1">
        <v>90</v>
      </c>
      <c r="B98" s="11" t="s">
        <v>54</v>
      </c>
      <c r="C98" s="10" t="s">
        <v>194</v>
      </c>
      <c r="D98" s="11" t="s">
        <v>275</v>
      </c>
      <c r="E98" s="10" t="s">
        <v>194</v>
      </c>
      <c r="F98" s="13" t="s">
        <v>195</v>
      </c>
      <c r="G98" s="10" t="s">
        <v>6</v>
      </c>
      <c r="H98" s="10">
        <v>1</v>
      </c>
      <c r="I98" s="11">
        <v>1</v>
      </c>
      <c r="J98" s="11" t="s">
        <v>72</v>
      </c>
      <c r="K98" s="10"/>
      <c r="L98" s="10"/>
      <c r="M98" s="4"/>
      <c r="N98" s="4"/>
      <c r="O98" s="4"/>
      <c r="P98" s="4"/>
      <c r="Q98" s="4"/>
    </row>
    <row r="99" spans="1:17" s="5" customFormat="1" ht="55.5" customHeight="1" x14ac:dyDescent="0.25">
      <c r="A99" s="1">
        <v>91</v>
      </c>
      <c r="B99" s="14" t="s">
        <v>0</v>
      </c>
      <c r="C99" s="10" t="s">
        <v>203</v>
      </c>
      <c r="D99" s="11" t="s">
        <v>285</v>
      </c>
      <c r="E99" s="10" t="s">
        <v>202</v>
      </c>
      <c r="F99" s="13" t="s">
        <v>204</v>
      </c>
      <c r="G99" s="11" t="s">
        <v>52</v>
      </c>
      <c r="H99" s="11">
        <v>12</v>
      </c>
      <c r="I99" s="11">
        <v>12</v>
      </c>
      <c r="J99" s="11" t="s">
        <v>474</v>
      </c>
      <c r="K99" s="10"/>
      <c r="L99" s="10"/>
      <c r="M99" s="4"/>
      <c r="N99" s="4"/>
      <c r="O99" s="4"/>
      <c r="P99" s="4"/>
      <c r="Q99" s="4"/>
    </row>
    <row r="100" spans="1:17" ht="55.5" customHeight="1" x14ac:dyDescent="0.25">
      <c r="A100" s="1">
        <v>92</v>
      </c>
      <c r="B100" s="10" t="s">
        <v>45</v>
      </c>
      <c r="C100" s="11" t="s">
        <v>212</v>
      </c>
      <c r="D100" s="11" t="s">
        <v>280</v>
      </c>
      <c r="E100" s="11" t="s">
        <v>213</v>
      </c>
      <c r="F100" s="12" t="s">
        <v>214</v>
      </c>
      <c r="G100" s="11" t="s">
        <v>253</v>
      </c>
      <c r="H100" s="11">
        <v>1</v>
      </c>
      <c r="I100" s="11">
        <v>1</v>
      </c>
      <c r="J100" s="11" t="s">
        <v>474</v>
      </c>
      <c r="K100" s="11"/>
      <c r="L100" s="11"/>
      <c r="M100" s="1"/>
    </row>
    <row r="101" spans="1:17" ht="55.5" customHeight="1" x14ac:dyDescent="0.25">
      <c r="A101" s="1">
        <v>93</v>
      </c>
      <c r="B101" s="10" t="s">
        <v>45</v>
      </c>
      <c r="C101" s="11" t="s">
        <v>212</v>
      </c>
      <c r="D101" s="11" t="s">
        <v>280</v>
      </c>
      <c r="E101" s="11" t="s">
        <v>215</v>
      </c>
      <c r="F101" s="12" t="s">
        <v>216</v>
      </c>
      <c r="G101" s="10" t="s">
        <v>6</v>
      </c>
      <c r="H101" s="10">
        <v>1</v>
      </c>
      <c r="I101" s="11">
        <v>1</v>
      </c>
      <c r="J101" s="11" t="s">
        <v>474</v>
      </c>
      <c r="K101" s="11"/>
      <c r="L101" s="11"/>
      <c r="M101" s="1"/>
    </row>
    <row r="102" spans="1:17" ht="55.5" customHeight="1" x14ac:dyDescent="0.25">
      <c r="A102" s="1">
        <v>94</v>
      </c>
      <c r="B102" s="10" t="s">
        <v>45</v>
      </c>
      <c r="C102" s="11" t="s">
        <v>212</v>
      </c>
      <c r="D102" s="11" t="s">
        <v>280</v>
      </c>
      <c r="E102" s="11" t="s">
        <v>217</v>
      </c>
      <c r="F102" s="12" t="s">
        <v>218</v>
      </c>
      <c r="G102" s="11" t="s">
        <v>52</v>
      </c>
      <c r="H102" s="11">
        <v>12</v>
      </c>
      <c r="I102" s="11">
        <v>10</v>
      </c>
      <c r="J102" s="11" t="s">
        <v>474</v>
      </c>
      <c r="K102" s="11"/>
      <c r="L102" s="11"/>
      <c r="M102" s="1"/>
    </row>
    <row r="103" spans="1:17" ht="55.5" customHeight="1" x14ac:dyDescent="0.25">
      <c r="A103" s="1">
        <v>95</v>
      </c>
      <c r="B103" s="10" t="s">
        <v>45</v>
      </c>
      <c r="C103" s="11" t="s">
        <v>212</v>
      </c>
      <c r="D103" s="11" t="s">
        <v>286</v>
      </c>
      <c r="E103" s="11" t="s">
        <v>219</v>
      </c>
      <c r="F103" s="12" t="s">
        <v>220</v>
      </c>
      <c r="G103" s="11" t="s">
        <v>52</v>
      </c>
      <c r="H103" s="11">
        <v>12</v>
      </c>
      <c r="I103" s="11">
        <v>11</v>
      </c>
      <c r="J103" s="11" t="s">
        <v>474</v>
      </c>
      <c r="K103" s="11"/>
      <c r="L103" s="11"/>
      <c r="M103" s="1"/>
    </row>
    <row r="104" spans="1:17" ht="55.5" customHeight="1" x14ac:dyDescent="0.25">
      <c r="A104" s="1">
        <v>96</v>
      </c>
      <c r="B104" s="10" t="s">
        <v>45</v>
      </c>
      <c r="C104" s="11" t="s">
        <v>212</v>
      </c>
      <c r="D104" s="11" t="s">
        <v>295</v>
      </c>
      <c r="E104" s="11" t="s">
        <v>221</v>
      </c>
      <c r="F104" s="13" t="s">
        <v>222</v>
      </c>
      <c r="G104" s="11" t="s">
        <v>257</v>
      </c>
      <c r="H104" s="11">
        <v>2</v>
      </c>
      <c r="I104" s="11">
        <v>2</v>
      </c>
      <c r="J104" s="11" t="s">
        <v>474</v>
      </c>
      <c r="K104" s="11"/>
      <c r="L104" s="11"/>
      <c r="M104" s="1"/>
    </row>
    <row r="105" spans="1:17" ht="103.5" customHeight="1" x14ac:dyDescent="0.25">
      <c r="A105" s="1">
        <v>97</v>
      </c>
      <c r="B105" s="11" t="s">
        <v>223</v>
      </c>
      <c r="C105" s="11" t="s">
        <v>224</v>
      </c>
      <c r="D105" s="11" t="s">
        <v>277</v>
      </c>
      <c r="E105" s="11" t="s">
        <v>225</v>
      </c>
      <c r="F105" s="13" t="s">
        <v>237</v>
      </c>
      <c r="G105" s="11" t="s">
        <v>52</v>
      </c>
      <c r="H105" s="11">
        <v>12</v>
      </c>
      <c r="I105" s="11">
        <v>12</v>
      </c>
      <c r="J105" s="11" t="s">
        <v>474</v>
      </c>
      <c r="K105" s="11"/>
      <c r="L105" s="11"/>
      <c r="M105" s="1"/>
    </row>
    <row r="106" spans="1:17" ht="55.5" customHeight="1" x14ac:dyDescent="0.25">
      <c r="A106" s="1">
        <v>98</v>
      </c>
      <c r="B106" s="11" t="s">
        <v>223</v>
      </c>
      <c r="C106" s="11" t="s">
        <v>224</v>
      </c>
      <c r="D106" s="11" t="s">
        <v>275</v>
      </c>
      <c r="E106" s="11" t="s">
        <v>226</v>
      </c>
      <c r="F106" s="13" t="s">
        <v>227</v>
      </c>
      <c r="G106" s="11" t="s">
        <v>52</v>
      </c>
      <c r="H106" s="11">
        <v>12</v>
      </c>
      <c r="I106" s="11">
        <v>12</v>
      </c>
      <c r="J106" s="11" t="s">
        <v>474</v>
      </c>
      <c r="K106" s="11"/>
      <c r="L106" s="11"/>
      <c r="M106" s="1"/>
    </row>
    <row r="107" spans="1:17" ht="55.5" customHeight="1" x14ac:dyDescent="0.25">
      <c r="A107" s="1">
        <v>99</v>
      </c>
      <c r="B107" s="11" t="s">
        <v>223</v>
      </c>
      <c r="C107" s="11" t="s">
        <v>224</v>
      </c>
      <c r="D107" s="11" t="s">
        <v>295</v>
      </c>
      <c r="E107" s="11" t="s">
        <v>228</v>
      </c>
      <c r="F107" s="13" t="s">
        <v>229</v>
      </c>
      <c r="G107" s="10" t="s">
        <v>6</v>
      </c>
      <c r="H107" s="11">
        <v>1</v>
      </c>
      <c r="I107" s="11">
        <v>1</v>
      </c>
      <c r="J107" s="11" t="s">
        <v>474</v>
      </c>
      <c r="K107" s="11"/>
      <c r="L107" s="11"/>
      <c r="M107" s="1"/>
    </row>
    <row r="108" spans="1:17" ht="55.5" customHeight="1" x14ac:dyDescent="0.25">
      <c r="A108" s="1">
        <v>100</v>
      </c>
      <c r="B108" s="11" t="s">
        <v>223</v>
      </c>
      <c r="C108" s="11" t="s">
        <v>224</v>
      </c>
      <c r="D108" s="11" t="s">
        <v>276</v>
      </c>
      <c r="E108" s="11" t="s">
        <v>234</v>
      </c>
      <c r="F108" s="13" t="s">
        <v>233</v>
      </c>
      <c r="G108" s="10" t="s">
        <v>6</v>
      </c>
      <c r="H108" s="10">
        <v>1</v>
      </c>
      <c r="I108" s="11">
        <v>1</v>
      </c>
      <c r="J108" s="11" t="s">
        <v>474</v>
      </c>
      <c r="K108" s="11"/>
      <c r="L108" s="11"/>
      <c r="M108" s="1"/>
    </row>
    <row r="109" spans="1:17" ht="55.5" customHeight="1" x14ac:dyDescent="0.25">
      <c r="A109" s="1">
        <v>101</v>
      </c>
      <c r="B109" s="11" t="s">
        <v>223</v>
      </c>
      <c r="C109" s="11" t="s">
        <v>224</v>
      </c>
      <c r="D109" s="11" t="s">
        <v>276</v>
      </c>
      <c r="E109" s="11" t="s">
        <v>230</v>
      </c>
      <c r="F109" s="13" t="s">
        <v>231</v>
      </c>
      <c r="G109" s="11" t="s">
        <v>232</v>
      </c>
      <c r="H109" s="11">
        <v>4</v>
      </c>
      <c r="I109" s="11">
        <v>3</v>
      </c>
      <c r="J109" s="11" t="s">
        <v>474</v>
      </c>
      <c r="K109" s="11"/>
      <c r="L109" s="11"/>
      <c r="M109" s="1"/>
    </row>
    <row r="110" spans="1:17" ht="55.5" customHeight="1" x14ac:dyDescent="0.25">
      <c r="A110" s="1">
        <v>102</v>
      </c>
      <c r="B110" s="11" t="s">
        <v>45</v>
      </c>
      <c r="C110" s="11" t="s">
        <v>166</v>
      </c>
      <c r="D110" s="11" t="s">
        <v>285</v>
      </c>
      <c r="E110" s="69" t="s">
        <v>167</v>
      </c>
      <c r="F110" s="12" t="s">
        <v>168</v>
      </c>
      <c r="G110" s="10" t="s">
        <v>6</v>
      </c>
      <c r="H110" s="10">
        <v>1</v>
      </c>
      <c r="I110" s="11">
        <v>1</v>
      </c>
      <c r="J110" s="11" t="s">
        <v>258</v>
      </c>
      <c r="K110" s="11"/>
      <c r="L110" s="11"/>
      <c r="M110" s="1"/>
    </row>
    <row r="111" spans="1:17" s="2" customFormat="1" ht="55.5" customHeight="1" x14ac:dyDescent="0.2">
      <c r="A111" s="1">
        <v>103</v>
      </c>
      <c r="B111" s="11" t="s">
        <v>45</v>
      </c>
      <c r="C111" s="11" t="s">
        <v>162</v>
      </c>
      <c r="D111" s="11" t="s">
        <v>285</v>
      </c>
      <c r="E111" s="11" t="s">
        <v>163</v>
      </c>
      <c r="F111" s="12" t="s">
        <v>164</v>
      </c>
      <c r="G111" s="10" t="s">
        <v>6</v>
      </c>
      <c r="H111" s="10">
        <v>1</v>
      </c>
      <c r="I111" s="11">
        <v>1</v>
      </c>
      <c r="J111" s="11" t="s">
        <v>165</v>
      </c>
      <c r="K111" s="11"/>
      <c r="L111" s="11"/>
    </row>
    <row r="112" spans="1:17" s="54" customFormat="1" ht="55.5" customHeight="1" x14ac:dyDescent="0.2">
      <c r="A112" s="53">
        <v>104</v>
      </c>
      <c r="B112" s="11" t="s">
        <v>45</v>
      </c>
      <c r="C112" s="11" t="s">
        <v>454</v>
      </c>
      <c r="D112" s="11" t="s">
        <v>285</v>
      </c>
      <c r="E112" s="11" t="s">
        <v>468</v>
      </c>
      <c r="F112" s="12" t="s">
        <v>455</v>
      </c>
      <c r="G112" s="10" t="s">
        <v>6</v>
      </c>
      <c r="H112" s="10">
        <v>1</v>
      </c>
      <c r="I112" s="11">
        <v>1</v>
      </c>
      <c r="J112" s="11"/>
      <c r="K112" s="11"/>
      <c r="L112" s="11"/>
    </row>
    <row r="113" spans="1:13" s="54" customFormat="1" ht="55.5" customHeight="1" x14ac:dyDescent="0.2">
      <c r="A113" s="53">
        <v>105</v>
      </c>
      <c r="B113" s="11" t="s">
        <v>45</v>
      </c>
      <c r="C113" s="11" t="s">
        <v>458</v>
      </c>
      <c r="D113" s="11" t="s">
        <v>285</v>
      </c>
      <c r="E113" s="11" t="s">
        <v>469</v>
      </c>
      <c r="F113" s="12" t="s">
        <v>455</v>
      </c>
      <c r="G113" s="10" t="s">
        <v>6</v>
      </c>
      <c r="H113" s="10">
        <v>1</v>
      </c>
      <c r="I113" s="11">
        <v>1</v>
      </c>
      <c r="J113" s="11"/>
      <c r="K113" s="11"/>
      <c r="L113" s="11"/>
    </row>
    <row r="114" spans="1:13" ht="34.5" customHeight="1" x14ac:dyDescent="0.2">
      <c r="B114" s="71" t="s">
        <v>340</v>
      </c>
      <c r="C114" s="71"/>
      <c r="D114" s="71"/>
      <c r="E114" s="71"/>
      <c r="F114" s="71"/>
      <c r="G114" s="71"/>
      <c r="H114" s="15">
        <f>SUM(Tabla1[Entregables])</f>
        <v>1021</v>
      </c>
      <c r="I114" s="15">
        <f>SUM(Tabla1[Resultado])</f>
        <v>652</v>
      </c>
      <c r="M114" s="1"/>
    </row>
    <row r="115" spans="1:13" ht="90" customHeight="1" x14ac:dyDescent="0.2">
      <c r="B115" s="4">
        <f>COUNTIF(B93:B113, "General")</f>
        <v>10</v>
      </c>
      <c r="M115" s="1"/>
    </row>
    <row r="116" spans="1:13" ht="90" customHeight="1" x14ac:dyDescent="0.2">
      <c r="B116" s="4"/>
      <c r="M116" s="1"/>
    </row>
    <row r="117" spans="1:13" ht="90" customHeight="1" x14ac:dyDescent="0.2">
      <c r="M117" s="1"/>
    </row>
    <row r="118" spans="1:13" ht="90" customHeight="1" x14ac:dyDescent="0.2">
      <c r="B118" s="4"/>
      <c r="M118" s="1"/>
    </row>
    <row r="119" spans="1:13" ht="90" customHeight="1" x14ac:dyDescent="0.2">
      <c r="M119" s="1"/>
    </row>
    <row r="120" spans="1:13" ht="14.25" x14ac:dyDescent="0.2">
      <c r="B120" s="4"/>
      <c r="M120" s="1"/>
    </row>
    <row r="121" spans="1:13" ht="90" customHeight="1" x14ac:dyDescent="0.2">
      <c r="B121" s="4"/>
      <c r="M121" s="1"/>
    </row>
    <row r="122" spans="1:13" ht="154.5" customHeight="1" x14ac:dyDescent="0.2">
      <c r="B122" s="4"/>
      <c r="M122" s="1"/>
    </row>
    <row r="123" spans="1:13" ht="14.25" x14ac:dyDescent="0.2">
      <c r="M123" s="1"/>
    </row>
    <row r="124" spans="1:13" ht="14.25" x14ac:dyDescent="0.2">
      <c r="M124" s="1"/>
    </row>
    <row r="125" spans="1:13" ht="14.25" x14ac:dyDescent="0.2">
      <c r="M125" s="1"/>
    </row>
    <row r="126" spans="1:13" ht="14.25" x14ac:dyDescent="0.2">
      <c r="M126" s="1"/>
    </row>
    <row r="127" spans="1:13" ht="14.25" x14ac:dyDescent="0.2">
      <c r="M127" s="1"/>
    </row>
    <row r="128" spans="1:13" ht="14.25" x14ac:dyDescent="0.2">
      <c r="M128" s="1"/>
    </row>
    <row r="129" spans="13:13" ht="14.25" x14ac:dyDescent="0.2">
      <c r="M129" s="1"/>
    </row>
    <row r="130" spans="13:13" ht="14.25" x14ac:dyDescent="0.2">
      <c r="M130" s="1"/>
    </row>
    <row r="131" spans="13:13" ht="14.25" x14ac:dyDescent="0.2">
      <c r="M131" s="1"/>
    </row>
    <row r="132" spans="13:13" ht="14.25" x14ac:dyDescent="0.2">
      <c r="M132" s="1"/>
    </row>
    <row r="133" spans="13:13" ht="14.25" x14ac:dyDescent="0.2">
      <c r="M133" s="1"/>
    </row>
    <row r="134" spans="13:13" ht="14.25" x14ac:dyDescent="0.2">
      <c r="M134" s="1"/>
    </row>
    <row r="135" spans="13:13" ht="14.25" x14ac:dyDescent="0.2">
      <c r="M135" s="1"/>
    </row>
    <row r="136" spans="13:13" ht="14.25" x14ac:dyDescent="0.2">
      <c r="M136" s="1"/>
    </row>
    <row r="137" spans="13:13" ht="14.25" x14ac:dyDescent="0.2">
      <c r="M137" s="1"/>
    </row>
    <row r="138" spans="13:13" ht="14.25" x14ac:dyDescent="0.2">
      <c r="M138" s="1"/>
    </row>
    <row r="139" spans="13:13" ht="14.25" x14ac:dyDescent="0.2">
      <c r="M139" s="1"/>
    </row>
    <row r="140" spans="13:13" ht="14.25" x14ac:dyDescent="0.2">
      <c r="M140" s="1"/>
    </row>
    <row r="141" spans="13:13" ht="14.25" x14ac:dyDescent="0.2">
      <c r="M141" s="1"/>
    </row>
    <row r="142" spans="13:13" ht="14.25" x14ac:dyDescent="0.2">
      <c r="M142" s="1"/>
    </row>
    <row r="143" spans="13:13" ht="14.25" x14ac:dyDescent="0.2">
      <c r="M143" s="1"/>
    </row>
    <row r="144" spans="13:13" ht="14.25" x14ac:dyDescent="0.2">
      <c r="M144" s="1"/>
    </row>
    <row r="145" spans="13:13" ht="14.25" x14ac:dyDescent="0.2">
      <c r="M145" s="1"/>
    </row>
    <row r="146" spans="13:13" ht="14.25" x14ac:dyDescent="0.2">
      <c r="M146" s="1"/>
    </row>
    <row r="147" spans="13:13" ht="14.25" x14ac:dyDescent="0.2">
      <c r="M147" s="1"/>
    </row>
  </sheetData>
  <mergeCells count="5">
    <mergeCell ref="C5:E5"/>
    <mergeCell ref="B114:G114"/>
    <mergeCell ref="B2:C4"/>
    <mergeCell ref="C6:E6"/>
    <mergeCell ref="C7:E7"/>
  </mergeCells>
  <phoneticPr fontId="1" type="noConversion"/>
  <pageMargins left="0.7" right="0.7" top="0.75" bottom="0.75" header="0.3" footer="0.3"/>
  <pageSetup orientation="portrait" horizontalDpi="4294967293" verticalDpi="4294967293"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DF84-B939-4BD7-AA7B-AF612795B864}">
  <dimension ref="A2:E12"/>
  <sheetViews>
    <sheetView workbookViewId="0">
      <selection activeCell="A3" sqref="A3:A12"/>
    </sheetView>
  </sheetViews>
  <sheetFormatPr baseColWidth="10" defaultRowHeight="15" x14ac:dyDescent="0.25"/>
  <cols>
    <col min="1" max="1" width="14" customWidth="1"/>
    <col min="2" max="2" width="20.7109375" style="21" customWidth="1"/>
  </cols>
  <sheetData>
    <row r="2" spans="1:5" x14ac:dyDescent="0.25">
      <c r="A2" s="26" t="str">
        <f>'Compromisos RCAs'!$B$8</f>
        <v xml:space="preserve">Componente </v>
      </c>
      <c r="B2" s="27"/>
      <c r="C2" s="28" t="s">
        <v>460</v>
      </c>
      <c r="D2" s="28" t="s">
        <v>270</v>
      </c>
      <c r="E2" s="28" t="s">
        <v>341</v>
      </c>
    </row>
    <row r="3" spans="1:5" x14ac:dyDescent="0.25">
      <c r="A3" s="22" t="s">
        <v>401</v>
      </c>
      <c r="B3" s="47" t="s">
        <v>197</v>
      </c>
      <c r="C3" s="22">
        <f>'Compromisos RCAs'!H93</f>
        <v>1</v>
      </c>
      <c r="D3" s="22">
        <f>'Compromisos RCAs'!I93</f>
        <v>1</v>
      </c>
      <c r="E3" s="50">
        <f>D3/C3</f>
        <v>1</v>
      </c>
    </row>
    <row r="4" spans="1:5" ht="22.5" x14ac:dyDescent="0.25">
      <c r="A4" s="22" t="s">
        <v>402</v>
      </c>
      <c r="B4" s="48" t="s">
        <v>214</v>
      </c>
      <c r="C4" s="22">
        <f>'Compromisos RCAs'!H100</f>
        <v>1</v>
      </c>
      <c r="D4" s="22">
        <v>1</v>
      </c>
      <c r="E4" s="50">
        <f t="shared" ref="E4:E12" si="0">D4/C4</f>
        <v>1</v>
      </c>
    </row>
    <row r="5" spans="1:5" ht="33.75" x14ac:dyDescent="0.25">
      <c r="A5" s="22" t="s">
        <v>403</v>
      </c>
      <c r="B5" s="48" t="s">
        <v>216</v>
      </c>
      <c r="C5" s="22">
        <f>'Compromisos RCAs'!H101</f>
        <v>1</v>
      </c>
      <c r="D5" s="22">
        <v>1</v>
      </c>
      <c r="E5" s="50">
        <f t="shared" si="0"/>
        <v>1</v>
      </c>
    </row>
    <row r="6" spans="1:5" ht="22.5" x14ac:dyDescent="0.25">
      <c r="A6" s="22" t="s">
        <v>404</v>
      </c>
      <c r="B6" s="48" t="s">
        <v>218</v>
      </c>
      <c r="C6" s="22">
        <f>'Compromisos RCAs'!H102</f>
        <v>12</v>
      </c>
      <c r="D6" s="22">
        <v>7</v>
      </c>
      <c r="E6" s="50">
        <f t="shared" si="0"/>
        <v>0.58333333333333337</v>
      </c>
    </row>
    <row r="7" spans="1:5" ht="22.5" x14ac:dyDescent="0.25">
      <c r="A7" s="22" t="s">
        <v>405</v>
      </c>
      <c r="B7" s="48" t="s">
        <v>220</v>
      </c>
      <c r="C7" s="22">
        <f>'Compromisos RCAs'!H103</f>
        <v>12</v>
      </c>
      <c r="D7" s="22">
        <v>3</v>
      </c>
      <c r="E7" s="50">
        <f t="shared" si="0"/>
        <v>0.25</v>
      </c>
    </row>
    <row r="8" spans="1:5" ht="33.75" x14ac:dyDescent="0.25">
      <c r="A8" s="22" t="s">
        <v>406</v>
      </c>
      <c r="B8" s="47" t="s">
        <v>400</v>
      </c>
      <c r="C8" s="22">
        <f>'Compromisos RCAs'!H104</f>
        <v>2</v>
      </c>
      <c r="D8" s="22">
        <v>2</v>
      </c>
      <c r="E8" s="50">
        <f t="shared" si="0"/>
        <v>1</v>
      </c>
    </row>
    <row r="9" spans="1:5" ht="33.75" x14ac:dyDescent="0.25">
      <c r="A9" s="22" t="s">
        <v>407</v>
      </c>
      <c r="B9" s="48" t="s">
        <v>168</v>
      </c>
      <c r="C9" s="22">
        <f>'Compromisos RCAs'!H110</f>
        <v>1</v>
      </c>
      <c r="D9" s="22">
        <v>1</v>
      </c>
      <c r="E9" s="50">
        <f t="shared" si="0"/>
        <v>1</v>
      </c>
    </row>
    <row r="10" spans="1:5" ht="22.5" x14ac:dyDescent="0.25">
      <c r="A10" s="22" t="s">
        <v>408</v>
      </c>
      <c r="B10" s="48" t="s">
        <v>164</v>
      </c>
      <c r="C10" s="22">
        <f>'Compromisos RCAs'!H111</f>
        <v>1</v>
      </c>
      <c r="D10" s="22">
        <v>1</v>
      </c>
      <c r="E10" s="50">
        <f t="shared" si="0"/>
        <v>1</v>
      </c>
    </row>
    <row r="11" spans="1:5" ht="22.5" x14ac:dyDescent="0.25">
      <c r="A11" s="22" t="s">
        <v>456</v>
      </c>
      <c r="B11" s="51" t="s">
        <v>454</v>
      </c>
      <c r="C11" s="20">
        <f>'Compromisos RCAs'!H112</f>
        <v>1</v>
      </c>
      <c r="D11" s="20">
        <f>'Compromisos RCAs'!I112</f>
        <v>1</v>
      </c>
      <c r="E11" s="50">
        <f t="shared" si="0"/>
        <v>1</v>
      </c>
    </row>
    <row r="12" spans="1:5" ht="22.5" x14ac:dyDescent="0.25">
      <c r="A12" s="22" t="s">
        <v>457</v>
      </c>
      <c r="B12" s="51" t="s">
        <v>458</v>
      </c>
      <c r="C12" s="20">
        <f>'Compromisos RCAs'!H113</f>
        <v>1</v>
      </c>
      <c r="D12" s="20">
        <f>'Compromisos RCAs'!I113</f>
        <v>1</v>
      </c>
      <c r="E12" s="50">
        <f t="shared" si="0"/>
        <v>1</v>
      </c>
    </row>
  </sheetData>
  <phoneticPr fontId="1" type="noConversion"/>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C812-BBED-49C6-A557-4A20EE9CA72D}">
  <dimension ref="A2:E10"/>
  <sheetViews>
    <sheetView workbookViewId="0">
      <selection activeCell="D12" sqref="D12"/>
    </sheetView>
  </sheetViews>
  <sheetFormatPr baseColWidth="10" defaultRowHeight="15" x14ac:dyDescent="0.25"/>
  <cols>
    <col min="1" max="1" width="10" style="32" bestFit="1" customWidth="1"/>
    <col min="2" max="2" width="31.5703125" style="24" customWidth="1"/>
    <col min="3" max="4" width="11.42578125" style="32"/>
    <col min="5" max="5" width="7" style="32" bestFit="1" customWidth="1"/>
    <col min="6" max="16384" width="11.42578125" style="32"/>
  </cols>
  <sheetData>
    <row r="2" spans="1:5" x14ac:dyDescent="0.25">
      <c r="A2" s="26" t="str">
        <f>'Compromisos RCAs'!$B$8</f>
        <v xml:space="preserve">Componente </v>
      </c>
      <c r="B2" s="27"/>
      <c r="C2" s="26" t="s">
        <v>460</v>
      </c>
      <c r="D2" s="26" t="s">
        <v>270</v>
      </c>
      <c r="E2" s="26" t="s">
        <v>341</v>
      </c>
    </row>
    <row r="3" spans="1:5" ht="33.75" x14ac:dyDescent="0.25">
      <c r="A3" s="25" t="s">
        <v>387</v>
      </c>
      <c r="B3" s="34" t="s">
        <v>331</v>
      </c>
      <c r="C3" s="25">
        <f>'Compromisos RCAs'!H73</f>
        <v>5</v>
      </c>
      <c r="D3" s="25">
        <v>3</v>
      </c>
      <c r="E3" s="52">
        <f>D3/C3</f>
        <v>0.6</v>
      </c>
    </row>
    <row r="4" spans="1:5" ht="22.5" x14ac:dyDescent="0.25">
      <c r="A4" s="25" t="s">
        <v>388</v>
      </c>
      <c r="B4" s="34" t="s">
        <v>61</v>
      </c>
      <c r="C4" s="25">
        <f>'Compromisos RCAs'!H74</f>
        <v>5</v>
      </c>
      <c r="D4" s="25">
        <v>4</v>
      </c>
      <c r="E4" s="52">
        <f t="shared" ref="E4:E10" si="0">D4/C4</f>
        <v>0.8</v>
      </c>
    </row>
    <row r="5" spans="1:5" ht="56.25" x14ac:dyDescent="0.25">
      <c r="A5" s="25" t="s">
        <v>389</v>
      </c>
      <c r="B5" s="34" t="s">
        <v>391</v>
      </c>
      <c r="C5" s="25">
        <f>'Compromisos RCAs'!H75</f>
        <v>5</v>
      </c>
      <c r="D5" s="25">
        <v>2</v>
      </c>
      <c r="E5" s="52">
        <f t="shared" si="0"/>
        <v>0.4</v>
      </c>
    </row>
    <row r="6" spans="1:5" ht="50.25" customHeight="1" x14ac:dyDescent="0.25">
      <c r="A6" s="25" t="s">
        <v>390</v>
      </c>
      <c r="B6" s="34" t="s">
        <v>64</v>
      </c>
      <c r="C6" s="25">
        <f>'Compromisos RCAs'!H76</f>
        <v>48</v>
      </c>
      <c r="D6" s="25">
        <v>34</v>
      </c>
      <c r="E6" s="52">
        <f t="shared" si="0"/>
        <v>0.70833333333333337</v>
      </c>
    </row>
    <row r="7" spans="1:5" ht="33" customHeight="1" x14ac:dyDescent="0.25">
      <c r="A7" s="25" t="s">
        <v>392</v>
      </c>
      <c r="B7" s="34" t="str">
        <f>'Compromisos RCAs'!$F$79</f>
        <v xml:space="preserve">Protocolo de comunicación comunidad CV elaborado y formalizado </v>
      </c>
      <c r="C7" s="25">
        <f>'Compromisos RCAs'!H79</f>
        <v>1</v>
      </c>
      <c r="D7" s="25">
        <v>1</v>
      </c>
      <c r="E7" s="52">
        <f t="shared" si="0"/>
        <v>1</v>
      </c>
    </row>
    <row r="8" spans="1:5" ht="22.5" x14ac:dyDescent="0.25">
      <c r="A8" s="25" t="s">
        <v>393</v>
      </c>
      <c r="B8" s="34" t="s">
        <v>462</v>
      </c>
      <c r="C8" s="25">
        <f>'Compromisos RCAs'!H80</f>
        <v>1</v>
      </c>
      <c r="D8" s="25">
        <f>'Compromisos RCAs'!I80</f>
        <v>1</v>
      </c>
      <c r="E8" s="52">
        <f t="shared" si="0"/>
        <v>1</v>
      </c>
    </row>
    <row r="9" spans="1:5" ht="45" x14ac:dyDescent="0.25">
      <c r="A9" s="25" t="s">
        <v>394</v>
      </c>
      <c r="B9" s="34" t="s">
        <v>77</v>
      </c>
      <c r="C9" s="25">
        <f>'Compromisos RCAs'!H81</f>
        <v>12</v>
      </c>
      <c r="D9" s="25">
        <v>12</v>
      </c>
      <c r="E9" s="52">
        <f t="shared" si="0"/>
        <v>1</v>
      </c>
    </row>
    <row r="10" spans="1:5" ht="33.75" x14ac:dyDescent="0.25">
      <c r="A10" s="25" t="s">
        <v>395</v>
      </c>
      <c r="B10" s="34" t="s">
        <v>79</v>
      </c>
      <c r="C10" s="25">
        <f>'Compromisos RCAs'!H82</f>
        <v>12</v>
      </c>
      <c r="D10" s="25">
        <v>12</v>
      </c>
      <c r="E10" s="52">
        <f t="shared" si="0"/>
        <v>1</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F683D-C6D7-4284-AF87-6C3EB017FEA4}">
  <dimension ref="A3:E8"/>
  <sheetViews>
    <sheetView workbookViewId="0">
      <selection activeCell="F12" sqref="F12"/>
    </sheetView>
  </sheetViews>
  <sheetFormatPr baseColWidth="10" defaultRowHeight="15" x14ac:dyDescent="0.25"/>
  <cols>
    <col min="1" max="1" width="13" bestFit="1" customWidth="1"/>
    <col min="2" max="2" width="26" style="21" customWidth="1"/>
  </cols>
  <sheetData>
    <row r="3" spans="1:5" x14ac:dyDescent="0.25">
      <c r="A3" s="26" t="str">
        <f>'Compromisos RCAs'!$B$8</f>
        <v xml:space="preserve">Componente </v>
      </c>
      <c r="B3" s="27"/>
      <c r="C3" s="28" t="s">
        <v>460</v>
      </c>
      <c r="D3" s="28" t="s">
        <v>270</v>
      </c>
      <c r="E3" s="28" t="s">
        <v>341</v>
      </c>
    </row>
    <row r="4" spans="1:5" ht="26.25" customHeight="1" x14ac:dyDescent="0.25">
      <c r="A4" s="22" t="s">
        <v>380</v>
      </c>
      <c r="B4" s="19" t="s">
        <v>125</v>
      </c>
      <c r="C4" s="22">
        <f>'Compromisos RCAs'!H58</f>
        <v>1</v>
      </c>
      <c r="D4" s="22">
        <f>'Compromisos RCAs'!I58</f>
        <v>1</v>
      </c>
      <c r="E4" s="22"/>
    </row>
    <row r="5" spans="1:5" ht="33.75" x14ac:dyDescent="0.25">
      <c r="A5" s="22" t="s">
        <v>381</v>
      </c>
      <c r="B5" s="19" t="s">
        <v>126</v>
      </c>
      <c r="C5" s="22">
        <f>'Compromisos RCAs'!H59</f>
        <v>12</v>
      </c>
      <c r="D5" s="22">
        <f>'Compromisos RCAs'!I59</f>
        <v>11</v>
      </c>
      <c r="E5" s="22"/>
    </row>
    <row r="6" spans="1:5" ht="45" x14ac:dyDescent="0.25">
      <c r="A6" s="22" t="s">
        <v>382</v>
      </c>
      <c r="B6" s="19" t="s">
        <v>123</v>
      </c>
      <c r="C6" s="22">
        <f>'Compromisos RCAs'!H60</f>
        <v>1</v>
      </c>
      <c r="D6" s="22">
        <f>'Compromisos RCAs'!I60</f>
        <v>1</v>
      </c>
      <c r="E6" s="22"/>
    </row>
    <row r="7" spans="1:5" ht="33.75" x14ac:dyDescent="0.25">
      <c r="A7" s="22" t="s">
        <v>383</v>
      </c>
      <c r="B7" s="19" t="s">
        <v>129</v>
      </c>
      <c r="C7" s="22">
        <f>'Compromisos RCAs'!H61</f>
        <v>12</v>
      </c>
      <c r="D7" s="22">
        <f>'Compromisos RCAs'!I61</f>
        <v>7</v>
      </c>
      <c r="E7" s="22"/>
    </row>
    <row r="8" spans="1:5" ht="33.75" x14ac:dyDescent="0.25">
      <c r="A8" s="22" t="s">
        <v>384</v>
      </c>
      <c r="B8" s="19" t="s">
        <v>128</v>
      </c>
      <c r="C8" s="22">
        <f>'Compromisos RCAs'!H62</f>
        <v>12</v>
      </c>
      <c r="D8" s="22">
        <f>'Compromisos RCAs'!I62</f>
        <v>8</v>
      </c>
      <c r="E8" s="22"/>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3428-FEBD-43C0-B275-53FEDDB9EC08}">
  <dimension ref="A2:E9"/>
  <sheetViews>
    <sheetView workbookViewId="0">
      <selection activeCell="I13" sqref="I13"/>
    </sheetView>
  </sheetViews>
  <sheetFormatPr baseColWidth="10" defaultRowHeight="15" x14ac:dyDescent="0.25"/>
  <cols>
    <col min="1" max="1" width="10" bestFit="1" customWidth="1"/>
    <col min="2" max="2" width="26.140625" style="24" customWidth="1"/>
    <col min="3" max="3" width="8.7109375" bestFit="1" customWidth="1"/>
    <col min="4" max="4" width="7.85546875" customWidth="1"/>
    <col min="5" max="5" width="7" bestFit="1" customWidth="1"/>
  </cols>
  <sheetData>
    <row r="2" spans="1:5" x14ac:dyDescent="0.25">
      <c r="A2" s="82" t="s">
        <v>453</v>
      </c>
      <c r="B2" s="82"/>
      <c r="C2" s="82"/>
    </row>
    <row r="3" spans="1:5" x14ac:dyDescent="0.25">
      <c r="A3" s="36" t="str">
        <f>'Compromisos RCAs'!$B$8</f>
        <v xml:space="preserve">Componente </v>
      </c>
      <c r="B3" s="27"/>
      <c r="C3" s="36" t="s">
        <v>460</v>
      </c>
      <c r="D3" s="36" t="s">
        <v>270</v>
      </c>
      <c r="E3" s="36" t="s">
        <v>341</v>
      </c>
    </row>
    <row r="4" spans="1:5" ht="33.75" x14ac:dyDescent="0.25">
      <c r="A4" s="35" t="s">
        <v>374</v>
      </c>
      <c r="B4" s="23" t="str">
        <f>'Compromisos RCAs'!$F$57</f>
        <v>Registro y copia de certificado del contratista de autorización para el transporte de explosivos.</v>
      </c>
      <c r="C4" s="35">
        <f>'Compromisos RCAs'!H57</f>
        <v>5</v>
      </c>
      <c r="D4" s="35">
        <f>'Compromisos RCAs'!I57</f>
        <v>5</v>
      </c>
      <c r="E4" s="35"/>
    </row>
    <row r="5" spans="1:5" ht="33.75" x14ac:dyDescent="0.25">
      <c r="A5" s="35" t="s">
        <v>375</v>
      </c>
      <c r="B5" s="34" t="s">
        <v>237</v>
      </c>
      <c r="C5" s="35">
        <f>'Compromisos RCAs'!H105</f>
        <v>12</v>
      </c>
      <c r="D5" s="35">
        <f>'Compromisos RCAs'!I105</f>
        <v>12</v>
      </c>
      <c r="E5" s="35"/>
    </row>
    <row r="6" spans="1:5" ht="22.5" x14ac:dyDescent="0.25">
      <c r="A6" s="35" t="s">
        <v>376</v>
      </c>
      <c r="B6" s="34" t="s">
        <v>227</v>
      </c>
      <c r="C6" s="35">
        <f>'Compromisos RCAs'!H106</f>
        <v>12</v>
      </c>
      <c r="D6" s="35">
        <f>'Compromisos RCAs'!I106</f>
        <v>12</v>
      </c>
      <c r="E6" s="35"/>
    </row>
    <row r="7" spans="1:5" ht="33.75" x14ac:dyDescent="0.25">
      <c r="A7" s="35" t="s">
        <v>377</v>
      </c>
      <c r="B7" s="34" t="s">
        <v>229</v>
      </c>
      <c r="C7" s="35">
        <f>'Compromisos RCAs'!H107</f>
        <v>1</v>
      </c>
      <c r="D7" s="35">
        <f>'Compromisos RCAs'!I107</f>
        <v>1</v>
      </c>
      <c r="E7" s="35"/>
    </row>
    <row r="8" spans="1:5" ht="18.75" customHeight="1" x14ac:dyDescent="0.25">
      <c r="A8" s="35" t="s">
        <v>378</v>
      </c>
      <c r="B8" s="34" t="s">
        <v>233</v>
      </c>
      <c r="C8" s="35">
        <f>'Compromisos RCAs'!H108</f>
        <v>1</v>
      </c>
      <c r="D8" s="35">
        <f>'Compromisos RCAs'!I108</f>
        <v>1</v>
      </c>
      <c r="E8" s="35"/>
    </row>
    <row r="9" spans="1:5" ht="53.25" customHeight="1" x14ac:dyDescent="0.25">
      <c r="A9" s="35" t="s">
        <v>379</v>
      </c>
      <c r="B9" s="34" t="s">
        <v>409</v>
      </c>
      <c r="C9" s="35">
        <f>'Compromisos RCAs'!H109</f>
        <v>4</v>
      </c>
      <c r="D9" s="35">
        <f>'Compromisos RCAs'!I109</f>
        <v>3</v>
      </c>
      <c r="E9" s="35"/>
    </row>
  </sheetData>
  <mergeCells count="1">
    <mergeCell ref="A2:C2"/>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7A7D1-F6B0-480E-B254-1A2D848D71BF}">
  <dimension ref="A2:E17"/>
  <sheetViews>
    <sheetView workbookViewId="0">
      <selection activeCell="D6" sqref="D6"/>
    </sheetView>
  </sheetViews>
  <sheetFormatPr baseColWidth="10" defaultRowHeight="15" x14ac:dyDescent="0.25"/>
  <cols>
    <col min="1" max="1" width="13" bestFit="1" customWidth="1"/>
    <col min="2" max="2" width="37" style="21" customWidth="1"/>
  </cols>
  <sheetData>
    <row r="2" spans="1:5" s="38" customFormat="1" ht="12" x14ac:dyDescent="0.2">
      <c r="A2" s="37" t="str">
        <f>'Compromisos RCAs'!$B$8</f>
        <v xml:space="preserve">Componente </v>
      </c>
      <c r="B2" s="37"/>
      <c r="C2" s="37" t="s">
        <v>271</v>
      </c>
      <c r="D2" s="37" t="s">
        <v>270</v>
      </c>
      <c r="E2" s="37" t="s">
        <v>341</v>
      </c>
    </row>
    <row r="3" spans="1:5" x14ac:dyDescent="0.25">
      <c r="A3" s="22" t="s">
        <v>410</v>
      </c>
      <c r="B3" s="18" t="s">
        <v>425</v>
      </c>
      <c r="C3" s="20">
        <f>'Compromisos RCAs'!H26</f>
        <v>5</v>
      </c>
      <c r="D3" s="20">
        <f>'Compromisos RCAs'!I26</f>
        <v>5</v>
      </c>
      <c r="E3" s="60">
        <f>C3/D3</f>
        <v>1</v>
      </c>
    </row>
    <row r="4" spans="1:5" ht="33.75" x14ac:dyDescent="0.25">
      <c r="A4" s="22" t="s">
        <v>411</v>
      </c>
      <c r="B4" s="19" t="s">
        <v>208</v>
      </c>
      <c r="C4" s="20">
        <f>'Compromisos RCAs'!H27</f>
        <v>5</v>
      </c>
      <c r="D4" s="20">
        <f>'Compromisos RCAs'!I27</f>
        <v>5</v>
      </c>
      <c r="E4" s="60">
        <f t="shared" ref="E4:E17" si="0">C4/D4</f>
        <v>1</v>
      </c>
    </row>
    <row r="5" spans="1:5" ht="22.5" x14ac:dyDescent="0.25">
      <c r="A5" s="22" t="s">
        <v>412</v>
      </c>
      <c r="B5" s="19" t="s">
        <v>132</v>
      </c>
      <c r="C5" s="20">
        <f>'Compromisos RCAs'!H63</f>
        <v>20</v>
      </c>
      <c r="D5" s="20">
        <f>'Compromisos RCAs'!I63</f>
        <v>20</v>
      </c>
      <c r="E5" s="60">
        <f t="shared" si="0"/>
        <v>1</v>
      </c>
    </row>
    <row r="6" spans="1:5" ht="33.75" x14ac:dyDescent="0.25">
      <c r="A6" s="22" t="s">
        <v>413</v>
      </c>
      <c r="B6" s="19" t="s">
        <v>133</v>
      </c>
      <c r="C6" s="20">
        <f>'Compromisos RCAs'!H64</f>
        <v>20</v>
      </c>
      <c r="D6" s="20">
        <f>'Compromisos RCAs'!I64</f>
        <v>20</v>
      </c>
      <c r="E6" s="60">
        <f t="shared" si="0"/>
        <v>1</v>
      </c>
    </row>
    <row r="7" spans="1:5" ht="33.75" x14ac:dyDescent="0.25">
      <c r="A7" s="22" t="s">
        <v>414</v>
      </c>
      <c r="B7" s="19" t="s">
        <v>135</v>
      </c>
      <c r="C7" s="20">
        <f>'Compromisos RCAs'!H65</f>
        <v>20</v>
      </c>
      <c r="D7" s="20">
        <f>'Compromisos RCAs'!I65</f>
        <v>20</v>
      </c>
      <c r="E7" s="60">
        <f t="shared" si="0"/>
        <v>1</v>
      </c>
    </row>
    <row r="8" spans="1:5" ht="33.75" x14ac:dyDescent="0.25">
      <c r="A8" s="22" t="s">
        <v>415</v>
      </c>
      <c r="B8" s="19" t="s">
        <v>139</v>
      </c>
      <c r="C8" s="20">
        <f>'Compromisos RCAs'!H66</f>
        <v>20</v>
      </c>
      <c r="D8" s="20">
        <f>'Compromisos RCAs'!I66</f>
        <v>20</v>
      </c>
      <c r="E8" s="60">
        <f t="shared" si="0"/>
        <v>1</v>
      </c>
    </row>
    <row r="9" spans="1:5" ht="45" x14ac:dyDescent="0.25">
      <c r="A9" s="22" t="s">
        <v>416</v>
      </c>
      <c r="B9" s="19" t="s">
        <v>143</v>
      </c>
      <c r="C9" s="20">
        <f>'Compromisos RCAs'!H67</f>
        <v>20</v>
      </c>
      <c r="D9" s="20">
        <f>'Compromisos RCAs'!I67</f>
        <v>20</v>
      </c>
      <c r="E9" s="60">
        <f t="shared" si="0"/>
        <v>1</v>
      </c>
    </row>
    <row r="10" spans="1:5" ht="33.75" x14ac:dyDescent="0.25">
      <c r="A10" s="22" t="s">
        <v>417</v>
      </c>
      <c r="B10" s="19" t="s">
        <v>146</v>
      </c>
      <c r="C10" s="20">
        <f>'Compromisos RCAs'!H68</f>
        <v>20</v>
      </c>
      <c r="D10" s="20">
        <f>'Compromisos RCAs'!I68</f>
        <v>20</v>
      </c>
      <c r="E10" s="60">
        <f t="shared" si="0"/>
        <v>1</v>
      </c>
    </row>
    <row r="11" spans="1:5" ht="33.75" x14ac:dyDescent="0.25">
      <c r="A11" s="22" t="s">
        <v>418</v>
      </c>
      <c r="B11" s="19" t="s">
        <v>148</v>
      </c>
      <c r="C11" s="20">
        <f>'Compromisos RCAs'!H69</f>
        <v>20</v>
      </c>
      <c r="D11" s="20">
        <f>'Compromisos RCAs'!I69</f>
        <v>20</v>
      </c>
      <c r="E11" s="60">
        <f t="shared" si="0"/>
        <v>1</v>
      </c>
    </row>
    <row r="12" spans="1:5" ht="45" x14ac:dyDescent="0.25">
      <c r="A12" s="22" t="s">
        <v>419</v>
      </c>
      <c r="B12" s="19" t="s">
        <v>150</v>
      </c>
      <c r="C12" s="20">
        <f>'Compromisos RCAs'!H70</f>
        <v>20</v>
      </c>
      <c r="D12" s="20">
        <f>'Compromisos RCAs'!I70</f>
        <v>20</v>
      </c>
      <c r="E12" s="60">
        <f t="shared" si="0"/>
        <v>1</v>
      </c>
    </row>
    <row r="13" spans="1:5" x14ac:dyDescent="0.25">
      <c r="A13" s="22" t="s">
        <v>420</v>
      </c>
      <c r="B13" s="19" t="s">
        <v>191</v>
      </c>
      <c r="C13" s="20">
        <f>'Compromisos RCAs'!H94</f>
        <v>1</v>
      </c>
      <c r="D13" s="20">
        <f>'Compromisos RCAs'!I94</f>
        <v>1</v>
      </c>
      <c r="E13" s="60">
        <f t="shared" si="0"/>
        <v>1</v>
      </c>
    </row>
    <row r="14" spans="1:5" ht="22.5" x14ac:dyDescent="0.25">
      <c r="A14" s="22" t="s">
        <v>421</v>
      </c>
      <c r="B14" s="19" t="s">
        <v>189</v>
      </c>
      <c r="C14" s="20">
        <f>'Compromisos RCAs'!H95</f>
        <v>1</v>
      </c>
      <c r="D14" s="20">
        <f>'Compromisos RCAs'!I95</f>
        <v>1</v>
      </c>
      <c r="E14" s="60">
        <f t="shared" si="0"/>
        <v>1</v>
      </c>
    </row>
    <row r="15" spans="1:5" ht="33.75" x14ac:dyDescent="0.25">
      <c r="A15" s="22" t="s">
        <v>422</v>
      </c>
      <c r="B15" s="19" t="s">
        <v>192</v>
      </c>
      <c r="C15" s="20">
        <f>'Compromisos RCAs'!H96</f>
        <v>1</v>
      </c>
      <c r="D15" s="20">
        <f>'Compromisos RCAs'!I96</f>
        <v>1</v>
      </c>
      <c r="E15" s="60">
        <f t="shared" si="0"/>
        <v>1</v>
      </c>
    </row>
    <row r="16" spans="1:5" ht="22.5" x14ac:dyDescent="0.25">
      <c r="A16" s="22" t="s">
        <v>423</v>
      </c>
      <c r="B16" s="19" t="s">
        <v>193</v>
      </c>
      <c r="C16" s="20">
        <f>'Compromisos RCAs'!H97</f>
        <v>1</v>
      </c>
      <c r="D16" s="20">
        <f>'Compromisos RCAs'!I97</f>
        <v>1</v>
      </c>
      <c r="E16" s="60">
        <f t="shared" si="0"/>
        <v>1</v>
      </c>
    </row>
    <row r="17" spans="1:5" ht="45" x14ac:dyDescent="0.25">
      <c r="A17" s="22" t="s">
        <v>424</v>
      </c>
      <c r="B17" s="19" t="s">
        <v>195</v>
      </c>
      <c r="C17" s="20">
        <f>'Compromisos RCAs'!H98</f>
        <v>1</v>
      </c>
      <c r="D17" s="20">
        <f>'Compromisos RCAs'!I98</f>
        <v>1</v>
      </c>
      <c r="E17" s="60">
        <f t="shared" si="0"/>
        <v>1</v>
      </c>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200-8A98-45B1-AAF4-CE2A95E02485}">
  <dimension ref="A2:E6"/>
  <sheetViews>
    <sheetView workbookViewId="0">
      <selection activeCell="D7" sqref="D7"/>
    </sheetView>
  </sheetViews>
  <sheetFormatPr baseColWidth="10" defaultRowHeight="11.25" x14ac:dyDescent="0.25"/>
  <cols>
    <col min="1" max="1" width="11.42578125" style="33"/>
    <col min="2" max="2" width="15.7109375" style="24" customWidth="1"/>
    <col min="3" max="3" width="11.42578125" style="33"/>
    <col min="4" max="4" width="7.5703125" style="33" bestFit="1" customWidth="1"/>
    <col min="5" max="5" width="7" style="33" bestFit="1" customWidth="1"/>
    <col min="6" max="16384" width="11.42578125" style="33"/>
  </cols>
  <sheetData>
    <row r="2" spans="1:5" x14ac:dyDescent="0.25">
      <c r="A2" s="26" t="str">
        <f>'Compromisos RCAs'!$B$8</f>
        <v xml:space="preserve">Componente </v>
      </c>
      <c r="B2" s="27"/>
      <c r="C2" s="26" t="s">
        <v>460</v>
      </c>
      <c r="D2" s="26" t="s">
        <v>270</v>
      </c>
      <c r="E2" s="26" t="s">
        <v>341</v>
      </c>
    </row>
    <row r="3" spans="1:5" ht="24.75" customHeight="1" x14ac:dyDescent="0.25">
      <c r="A3" s="25" t="s">
        <v>357</v>
      </c>
      <c r="B3" s="34" t="s">
        <v>4</v>
      </c>
      <c r="C3" s="25">
        <f>'Compromisos RCAs'!H22</f>
        <v>1</v>
      </c>
      <c r="D3" s="25">
        <f>'Compromisos RCAs'!I22</f>
        <v>1</v>
      </c>
      <c r="E3" s="65">
        <f>D3/C3</f>
        <v>1</v>
      </c>
    </row>
    <row r="4" spans="1:5" ht="45" x14ac:dyDescent="0.25">
      <c r="A4" s="25" t="s">
        <v>358</v>
      </c>
      <c r="B4" s="34" t="s">
        <v>174</v>
      </c>
      <c r="C4" s="25">
        <f>'Compromisos RCAs'!H42</f>
        <v>1</v>
      </c>
      <c r="D4" s="25">
        <f>'Compromisos RCAs'!I42</f>
        <v>1</v>
      </c>
      <c r="E4" s="65">
        <f t="shared" ref="E4:E6" si="0">D4/C4</f>
        <v>1</v>
      </c>
    </row>
    <row r="5" spans="1:5" ht="30" customHeight="1" x14ac:dyDescent="0.25">
      <c r="A5" s="25" t="s">
        <v>359</v>
      </c>
      <c r="B5" s="34" t="s">
        <v>328</v>
      </c>
      <c r="C5" s="25">
        <f>'Compromisos RCAs'!H43</f>
        <v>1</v>
      </c>
      <c r="D5" s="25">
        <v>0</v>
      </c>
      <c r="E5" s="65">
        <f t="shared" si="0"/>
        <v>0</v>
      </c>
    </row>
    <row r="6" spans="1:5" ht="56.25" x14ac:dyDescent="0.25">
      <c r="A6" s="25" t="s">
        <v>360</v>
      </c>
      <c r="B6" s="34" t="s">
        <v>178</v>
      </c>
      <c r="C6" s="25">
        <f>'Compromisos RCAs'!H88</f>
        <v>12</v>
      </c>
      <c r="D6" s="25">
        <v>9</v>
      </c>
      <c r="E6" s="65">
        <f t="shared" si="0"/>
        <v>0.75</v>
      </c>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98746-D8F1-4053-B7B6-8BA75A180F59}">
  <dimension ref="A1:E13"/>
  <sheetViews>
    <sheetView workbookViewId="0">
      <selection activeCell="D6" sqref="D5:D6"/>
    </sheetView>
  </sheetViews>
  <sheetFormatPr baseColWidth="10" defaultRowHeight="11.25" x14ac:dyDescent="0.2"/>
  <cols>
    <col min="1" max="1" width="13" style="21" bestFit="1" customWidth="1"/>
    <col min="2" max="2" width="29.7109375" style="21" customWidth="1"/>
    <col min="3" max="3" width="9.28515625" style="21" bestFit="1" customWidth="1"/>
    <col min="4" max="4" width="9.85546875" style="21" bestFit="1" customWidth="1"/>
    <col min="5" max="5" width="9" style="21" bestFit="1" customWidth="1"/>
    <col min="6" max="16384" width="11.42578125" style="21"/>
  </cols>
  <sheetData>
    <row r="1" spans="1:5" x14ac:dyDescent="0.2">
      <c r="A1" s="83" t="s">
        <v>452</v>
      </c>
      <c r="B1" s="83"/>
    </row>
    <row r="2" spans="1:5" x14ac:dyDescent="0.2">
      <c r="A2" s="28" t="str">
        <f>'Compromisos RCAs'!$B$8</f>
        <v xml:space="preserve">Componente </v>
      </c>
      <c r="B2" s="28"/>
      <c r="C2" s="28" t="s">
        <v>460</v>
      </c>
      <c r="D2" s="28" t="s">
        <v>270</v>
      </c>
      <c r="E2" s="28" t="s">
        <v>341</v>
      </c>
    </row>
    <row r="3" spans="1:5" ht="33.75" x14ac:dyDescent="0.2">
      <c r="A3" s="22" t="s">
        <v>426</v>
      </c>
      <c r="B3" s="19" t="s">
        <v>313</v>
      </c>
      <c r="C3" s="22">
        <f>'Compromisos RCAs'!H23</f>
        <v>1</v>
      </c>
      <c r="D3" s="22">
        <f>'Compromisos RCAs'!I23</f>
        <v>1</v>
      </c>
      <c r="E3" s="66">
        <f>D3/C3</f>
        <v>1</v>
      </c>
    </row>
    <row r="4" spans="1:5" ht="22.5" x14ac:dyDescent="0.2">
      <c r="A4" s="22" t="s">
        <v>427</v>
      </c>
      <c r="B4" s="19" t="s">
        <v>316</v>
      </c>
      <c r="C4" s="22">
        <f>'Compromisos RCAs'!H24</f>
        <v>1</v>
      </c>
      <c r="D4" s="22">
        <f>'Compromisos RCAs'!I24</f>
        <v>1</v>
      </c>
      <c r="E4" s="66">
        <f t="shared" ref="E4:E13" si="0">D4/C4</f>
        <v>1</v>
      </c>
    </row>
    <row r="5" spans="1:5" ht="22.5" x14ac:dyDescent="0.2">
      <c r="A5" s="22" t="s">
        <v>428</v>
      </c>
      <c r="B5" s="18" t="s">
        <v>318</v>
      </c>
      <c r="C5" s="22">
        <f>'Compromisos RCAs'!H25</f>
        <v>5</v>
      </c>
      <c r="D5" s="22">
        <f>'Compromisos RCAs'!I25</f>
        <v>4</v>
      </c>
      <c r="E5" s="66">
        <f t="shared" si="0"/>
        <v>0.8</v>
      </c>
    </row>
    <row r="6" spans="1:5" ht="22.5" x14ac:dyDescent="0.2">
      <c r="A6" s="22" t="s">
        <v>429</v>
      </c>
      <c r="B6" s="19" t="s">
        <v>322</v>
      </c>
      <c r="C6" s="22">
        <f>'Compromisos RCAs'!H29</f>
        <v>5</v>
      </c>
      <c r="D6" s="22">
        <f>'Compromisos RCAs'!I29</f>
        <v>1</v>
      </c>
      <c r="E6" s="66">
        <f t="shared" si="0"/>
        <v>0.2</v>
      </c>
    </row>
    <row r="7" spans="1:5" ht="22.5" x14ac:dyDescent="0.2">
      <c r="A7" s="22" t="s">
        <v>430</v>
      </c>
      <c r="B7" s="19" t="s">
        <v>102</v>
      </c>
      <c r="C7" s="22">
        <f>'Compromisos RCAs'!H30</f>
        <v>4</v>
      </c>
      <c r="D7" s="22">
        <f>'Compromisos RCAs'!I30</f>
        <v>3</v>
      </c>
      <c r="E7" s="66">
        <f t="shared" si="0"/>
        <v>0.75</v>
      </c>
    </row>
    <row r="8" spans="1:5" ht="33.75" x14ac:dyDescent="0.2">
      <c r="A8" s="22" t="s">
        <v>431</v>
      </c>
      <c r="B8" s="19" t="s">
        <v>70</v>
      </c>
      <c r="C8" s="22">
        <f>'Compromisos RCAs'!H31</f>
        <v>4</v>
      </c>
      <c r="D8" s="22">
        <f>'Compromisos RCAs'!I31</f>
        <v>2</v>
      </c>
      <c r="E8" s="66">
        <f t="shared" si="0"/>
        <v>0.5</v>
      </c>
    </row>
    <row r="9" spans="1:5" ht="22.5" x14ac:dyDescent="0.2">
      <c r="A9" s="22" t="s">
        <v>432</v>
      </c>
      <c r="B9" s="18" t="s">
        <v>324</v>
      </c>
      <c r="C9" s="22">
        <f>'Compromisos RCAs'!H32</f>
        <v>5</v>
      </c>
      <c r="D9" s="22">
        <f>'Compromisos RCAs'!I32</f>
        <v>1</v>
      </c>
      <c r="E9" s="66">
        <f t="shared" si="0"/>
        <v>0.2</v>
      </c>
    </row>
    <row r="10" spans="1:5" ht="22.5" x14ac:dyDescent="0.2">
      <c r="A10" s="22" t="s">
        <v>433</v>
      </c>
      <c r="B10" s="19" t="s">
        <v>21</v>
      </c>
      <c r="C10" s="22">
        <f>'Compromisos RCAs'!H41</f>
        <v>48</v>
      </c>
      <c r="D10" s="22">
        <f>'Compromisos RCAs'!I41</f>
        <v>2</v>
      </c>
      <c r="E10" s="66">
        <f t="shared" si="0"/>
        <v>4.1666666666666664E-2</v>
      </c>
    </row>
    <row r="11" spans="1:5" ht="33.75" x14ac:dyDescent="0.2">
      <c r="A11" s="22" t="s">
        <v>434</v>
      </c>
      <c r="B11" s="18" t="s">
        <v>67</v>
      </c>
      <c r="C11" s="22">
        <f>'Compromisos RCAs'!H77</f>
        <v>25</v>
      </c>
      <c r="D11" s="22">
        <f>'Compromisos RCAs'!I77</f>
        <v>24</v>
      </c>
      <c r="E11" s="66">
        <f t="shared" si="0"/>
        <v>0.96</v>
      </c>
    </row>
    <row r="12" spans="1:5" ht="33.75" x14ac:dyDescent="0.2">
      <c r="A12" s="22" t="s">
        <v>435</v>
      </c>
      <c r="B12" s="19" t="s">
        <v>70</v>
      </c>
      <c r="C12" s="22">
        <f>'Compromisos RCAs'!H78</f>
        <v>25</v>
      </c>
      <c r="D12" s="22">
        <f>'Compromisos RCAs'!I78</f>
        <v>25</v>
      </c>
      <c r="E12" s="66">
        <f t="shared" si="0"/>
        <v>1</v>
      </c>
    </row>
    <row r="13" spans="1:5" ht="22.5" x14ac:dyDescent="0.2">
      <c r="A13" s="22" t="s">
        <v>436</v>
      </c>
      <c r="B13" s="19" t="s">
        <v>182</v>
      </c>
      <c r="C13" s="22">
        <f>'Compromisos RCAs'!H90</f>
        <v>12</v>
      </c>
      <c r="D13" s="22">
        <f>'Compromisos RCAs'!I90</f>
        <v>10</v>
      </c>
      <c r="E13" s="66">
        <f t="shared" si="0"/>
        <v>0.83333333333333337</v>
      </c>
    </row>
  </sheetData>
  <mergeCells count="1">
    <mergeCell ref="A1:B1"/>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6CBEA-46F1-46F8-90D3-0A389E793AB2}">
  <dimension ref="A2:E20"/>
  <sheetViews>
    <sheetView topLeftCell="A6" zoomScale="80" zoomScaleNormal="80" workbookViewId="0">
      <selection activeCell="E1" sqref="E1:E1048576"/>
    </sheetView>
  </sheetViews>
  <sheetFormatPr baseColWidth="10" defaultRowHeight="15" x14ac:dyDescent="0.25"/>
  <cols>
    <col min="1" max="1" width="14.28515625" customWidth="1"/>
    <col min="2" max="2" width="43.85546875" style="21" customWidth="1"/>
    <col min="5" max="5" width="11.42578125" style="61"/>
  </cols>
  <sheetData>
    <row r="2" spans="1:5" s="40" customFormat="1" x14ac:dyDescent="0.25">
      <c r="A2" s="39" t="str">
        <f>'Compromisos RCAs'!$B$8</f>
        <v xml:space="preserve">Componente </v>
      </c>
      <c r="B2" s="28"/>
      <c r="C2" s="39" t="s">
        <v>461</v>
      </c>
      <c r="D2" s="39" t="s">
        <v>270</v>
      </c>
      <c r="E2" s="59" t="s">
        <v>341</v>
      </c>
    </row>
    <row r="3" spans="1:5" x14ac:dyDescent="0.25">
      <c r="A3" s="20" t="s">
        <v>362</v>
      </c>
      <c r="B3" s="18" t="s">
        <v>159</v>
      </c>
      <c r="C3" s="20">
        <f>'Compromisos RCAs'!H33</f>
        <v>12</v>
      </c>
      <c r="D3" s="20">
        <f>'Compromisos RCAs'!I33</f>
        <v>3</v>
      </c>
      <c r="E3" s="60">
        <f>D3/C3</f>
        <v>0.25</v>
      </c>
    </row>
    <row r="4" spans="1:5" ht="22.5" x14ac:dyDescent="0.25">
      <c r="A4" s="20" t="s">
        <v>363</v>
      </c>
      <c r="B4" s="19" t="s">
        <v>158</v>
      </c>
      <c r="C4" s="20">
        <f>'Compromisos RCAs'!H34</f>
        <v>12</v>
      </c>
      <c r="D4" s="20">
        <f>'Compromisos RCAs'!I34</f>
        <v>2</v>
      </c>
      <c r="E4" s="60">
        <f t="shared" ref="E4:E20" si="0">D4/C4</f>
        <v>0.16666666666666666</v>
      </c>
    </row>
    <row r="5" spans="1:5" x14ac:dyDescent="0.25">
      <c r="A5" s="20" t="s">
        <v>364</v>
      </c>
      <c r="B5" s="18" t="s">
        <v>155</v>
      </c>
      <c r="C5" s="20">
        <f>'Compromisos RCAs'!H35</f>
        <v>12</v>
      </c>
      <c r="D5" s="20">
        <f>'Compromisos RCAs'!I35</f>
        <v>1</v>
      </c>
      <c r="E5" s="60">
        <f t="shared" si="0"/>
        <v>8.3333333333333329E-2</v>
      </c>
    </row>
    <row r="6" spans="1:5" ht="33.75" x14ac:dyDescent="0.25">
      <c r="A6" s="20" t="s">
        <v>365</v>
      </c>
      <c r="B6" s="19" t="s">
        <v>156</v>
      </c>
      <c r="C6" s="20">
        <f>'Compromisos RCAs'!H36</f>
        <v>1</v>
      </c>
      <c r="D6" s="20">
        <f>'Compromisos RCAs'!I36</f>
        <v>3</v>
      </c>
      <c r="E6" s="60">
        <f t="shared" si="0"/>
        <v>3</v>
      </c>
    </row>
    <row r="7" spans="1:5" ht="22.5" x14ac:dyDescent="0.25">
      <c r="A7" s="20" t="s">
        <v>366</v>
      </c>
      <c r="B7" s="19" t="s">
        <v>14</v>
      </c>
      <c r="C7" s="20">
        <f>'Compromisos RCAs'!H37</f>
        <v>5</v>
      </c>
      <c r="D7" s="20">
        <f>'Compromisos RCAs'!I37</f>
        <v>2</v>
      </c>
      <c r="E7" s="60">
        <f t="shared" si="0"/>
        <v>0.4</v>
      </c>
    </row>
    <row r="8" spans="1:5" ht="24" x14ac:dyDescent="0.25">
      <c r="A8" s="20" t="s">
        <v>437</v>
      </c>
      <c r="B8" s="12" t="s">
        <v>26</v>
      </c>
      <c r="C8" s="20">
        <f>'Compromisos RCAs'!H44</f>
        <v>12</v>
      </c>
      <c r="D8" s="20">
        <f>'Compromisos RCAs'!I44</f>
        <v>1</v>
      </c>
      <c r="E8" s="60">
        <f t="shared" si="0"/>
        <v>8.3333333333333329E-2</v>
      </c>
    </row>
    <row r="9" spans="1:5" x14ac:dyDescent="0.25">
      <c r="A9" s="20" t="s">
        <v>438</v>
      </c>
      <c r="B9" s="13" t="s">
        <v>28</v>
      </c>
      <c r="C9" s="20">
        <f>'Compromisos RCAs'!H45</f>
        <v>48</v>
      </c>
      <c r="D9" s="20">
        <f>'Compromisos RCAs'!I45</f>
        <v>3</v>
      </c>
      <c r="E9" s="60">
        <f t="shared" si="0"/>
        <v>6.25E-2</v>
      </c>
    </row>
    <row r="10" spans="1:5" ht="24" x14ac:dyDescent="0.25">
      <c r="A10" s="20" t="s">
        <v>439</v>
      </c>
      <c r="B10" s="13" t="s">
        <v>251</v>
      </c>
      <c r="C10" s="20">
        <f>'Compromisos RCAs'!H46</f>
        <v>48</v>
      </c>
      <c r="D10" s="20">
        <f>'Compromisos RCAs'!I46</f>
        <v>2</v>
      </c>
      <c r="E10" s="60">
        <f t="shared" si="0"/>
        <v>4.1666666666666664E-2</v>
      </c>
    </row>
    <row r="11" spans="1:5" ht="24" x14ac:dyDescent="0.25">
      <c r="A11" s="20" t="s">
        <v>440</v>
      </c>
      <c r="B11" s="13" t="s">
        <v>329</v>
      </c>
      <c r="C11" s="20">
        <f>'Compromisos RCAs'!H47</f>
        <v>12</v>
      </c>
      <c r="D11" s="20">
        <f>'Compromisos RCAs'!I47</f>
        <v>1</v>
      </c>
      <c r="E11" s="60">
        <f t="shared" si="0"/>
        <v>8.3333333333333329E-2</v>
      </c>
    </row>
    <row r="12" spans="1:5" ht="24" x14ac:dyDescent="0.25">
      <c r="A12" s="20" t="s">
        <v>441</v>
      </c>
      <c r="B12" s="12" t="s">
        <v>171</v>
      </c>
      <c r="C12" s="20">
        <f>'Compromisos RCAs'!H48</f>
        <v>12</v>
      </c>
      <c r="D12" s="20">
        <f>'Compromisos RCAs'!I48</f>
        <v>3</v>
      </c>
      <c r="E12" s="60">
        <f t="shared" si="0"/>
        <v>0.25</v>
      </c>
    </row>
    <row r="13" spans="1:5" ht="24" x14ac:dyDescent="0.25">
      <c r="A13" s="20" t="s">
        <v>442</v>
      </c>
      <c r="B13" s="12" t="s">
        <v>171</v>
      </c>
      <c r="C13" s="20">
        <f>'Compromisos RCAs'!H49</f>
        <v>12</v>
      </c>
      <c r="D13" s="20">
        <f>'Compromisos RCAs'!I49</f>
        <v>3</v>
      </c>
      <c r="E13" s="60">
        <f t="shared" si="0"/>
        <v>0.25</v>
      </c>
    </row>
    <row r="14" spans="1:5" ht="24" x14ac:dyDescent="0.25">
      <c r="A14" s="20" t="s">
        <v>443</v>
      </c>
      <c r="B14" s="13" t="s">
        <v>368</v>
      </c>
      <c r="C14" s="20">
        <f>'Compromisos RCAs'!H50</f>
        <v>1</v>
      </c>
      <c r="D14" s="20">
        <f>'Compromisos RCAs'!I50</f>
        <v>3</v>
      </c>
      <c r="E14" s="60">
        <f t="shared" si="0"/>
        <v>3</v>
      </c>
    </row>
    <row r="15" spans="1:5" ht="36" x14ac:dyDescent="0.25">
      <c r="A15" s="20" t="s">
        <v>444</v>
      </c>
      <c r="B15" s="13" t="s">
        <v>34</v>
      </c>
      <c r="C15" s="20">
        <f>'Compromisos RCAs'!H51</f>
        <v>1</v>
      </c>
      <c r="D15" s="20">
        <f>'Compromisos RCAs'!I51</f>
        <v>4</v>
      </c>
      <c r="E15" s="60">
        <f t="shared" si="0"/>
        <v>4</v>
      </c>
    </row>
    <row r="16" spans="1:5" ht="24" x14ac:dyDescent="0.25">
      <c r="A16" s="20" t="s">
        <v>445</v>
      </c>
      <c r="B16" s="13" t="s">
        <v>36</v>
      </c>
      <c r="C16" s="20">
        <f>'Compromisos RCAs'!H52</f>
        <v>1</v>
      </c>
      <c r="D16" s="20">
        <f>'Compromisos RCAs'!I52</f>
        <v>4</v>
      </c>
      <c r="E16" s="60">
        <f t="shared" si="0"/>
        <v>4</v>
      </c>
    </row>
    <row r="17" spans="1:5" ht="24" x14ac:dyDescent="0.25">
      <c r="A17" s="20" t="s">
        <v>446</v>
      </c>
      <c r="B17" s="12" t="s">
        <v>37</v>
      </c>
      <c r="C17" s="20">
        <f>'Compromisos RCAs'!H53</f>
        <v>1</v>
      </c>
      <c r="D17" s="20">
        <f>'Compromisos RCAs'!I53</f>
        <v>2</v>
      </c>
      <c r="E17" s="60">
        <f t="shared" si="0"/>
        <v>2</v>
      </c>
    </row>
    <row r="18" spans="1:5" ht="24" x14ac:dyDescent="0.25">
      <c r="A18" s="20" t="s">
        <v>447</v>
      </c>
      <c r="B18" s="13" t="s">
        <v>183</v>
      </c>
      <c r="C18" s="20">
        <f>'Compromisos RCAs'!H89</f>
        <v>12</v>
      </c>
      <c r="D18" s="20">
        <v>11</v>
      </c>
      <c r="E18" s="60">
        <f t="shared" si="0"/>
        <v>0.91666666666666663</v>
      </c>
    </row>
    <row r="19" spans="1:5" ht="24" x14ac:dyDescent="0.25">
      <c r="A19" s="20" t="s">
        <v>448</v>
      </c>
      <c r="B19" s="13" t="s">
        <v>209</v>
      </c>
      <c r="C19" s="20">
        <f>'Compromisos RCAs'!H91</f>
        <v>12</v>
      </c>
      <c r="D19" s="20">
        <v>6</v>
      </c>
      <c r="E19" s="60">
        <f t="shared" si="0"/>
        <v>0.5</v>
      </c>
    </row>
    <row r="20" spans="1:5" ht="24" x14ac:dyDescent="0.25">
      <c r="A20" s="20" t="s">
        <v>449</v>
      </c>
      <c r="B20" s="13" t="s">
        <v>211</v>
      </c>
      <c r="C20" s="20">
        <f>'Compromisos RCAs'!H92</f>
        <v>1</v>
      </c>
      <c r="D20" s="20">
        <v>1</v>
      </c>
      <c r="E20" s="60">
        <f t="shared" si="0"/>
        <v>1</v>
      </c>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19655-0979-424A-9B5E-C828C289EEB4}">
  <dimension ref="A2:E6"/>
  <sheetViews>
    <sheetView workbookViewId="0">
      <selection activeCell="E6" sqref="E6"/>
    </sheetView>
  </sheetViews>
  <sheetFormatPr baseColWidth="10" defaultRowHeight="15" x14ac:dyDescent="0.25"/>
  <cols>
    <col min="1" max="1" width="13" bestFit="1" customWidth="1"/>
    <col min="2" max="2" width="34.5703125" style="21" customWidth="1"/>
    <col min="5" max="5" width="11.42578125" style="61"/>
  </cols>
  <sheetData>
    <row r="2" spans="1:5" s="40" customFormat="1" x14ac:dyDescent="0.25">
      <c r="A2" s="39" t="str">
        <f>'Compromisos RCAs'!$B$8</f>
        <v xml:space="preserve">Componente </v>
      </c>
      <c r="B2" s="28"/>
      <c r="C2" s="39" t="s">
        <v>460</v>
      </c>
      <c r="D2" s="39" t="s">
        <v>270</v>
      </c>
      <c r="E2" s="59" t="s">
        <v>341</v>
      </c>
    </row>
    <row r="3" spans="1:5" ht="22.5" x14ac:dyDescent="0.25">
      <c r="A3" s="19" t="s">
        <v>369</v>
      </c>
      <c r="B3" s="18" t="s">
        <v>94</v>
      </c>
      <c r="C3" s="20">
        <f>'Compromisos RCAs'!H15</f>
        <v>12</v>
      </c>
      <c r="D3" s="20">
        <f>'Compromisos RCAs'!I15</f>
        <v>11</v>
      </c>
      <c r="E3" s="60">
        <f>D3/C3</f>
        <v>0.91666666666666663</v>
      </c>
    </row>
    <row r="4" spans="1:5" x14ac:dyDescent="0.25">
      <c r="A4" s="19" t="s">
        <v>370</v>
      </c>
      <c r="B4" s="18" t="s">
        <v>43</v>
      </c>
      <c r="C4" s="20">
        <f>'Compromisos RCAs'!H54</f>
        <v>12</v>
      </c>
      <c r="D4" s="20">
        <f>'Compromisos RCAs'!I54</f>
        <v>4</v>
      </c>
      <c r="E4" s="60">
        <f t="shared" ref="E4:E6" si="0">D4/C4</f>
        <v>0.33333333333333331</v>
      </c>
    </row>
    <row r="5" spans="1:5" ht="22.5" x14ac:dyDescent="0.25">
      <c r="A5" s="19" t="s">
        <v>371</v>
      </c>
      <c r="B5" s="19" t="s">
        <v>41</v>
      </c>
      <c r="C5" s="20">
        <f>'Compromisos RCAs'!H55</f>
        <v>12</v>
      </c>
      <c r="D5" s="20">
        <v>11</v>
      </c>
      <c r="E5" s="60">
        <f t="shared" si="0"/>
        <v>0.91666666666666663</v>
      </c>
    </row>
    <row r="6" spans="1:5" ht="33.75" x14ac:dyDescent="0.25">
      <c r="A6" s="19" t="s">
        <v>372</v>
      </c>
      <c r="B6" s="19" t="s">
        <v>373</v>
      </c>
      <c r="C6" s="20">
        <f>'Compromisos RCAs'!H56</f>
        <v>2</v>
      </c>
      <c r="D6" s="20">
        <v>2</v>
      </c>
      <c r="E6" s="60">
        <f t="shared" si="0"/>
        <v>1</v>
      </c>
    </row>
  </sheetData>
  <phoneticPr fontId="1" type="noConversion"/>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E468-A4FD-40FC-BE39-F1A864CBDD63}">
  <dimension ref="A2:E11"/>
  <sheetViews>
    <sheetView workbookViewId="0">
      <selection activeCell="D12" sqref="D12"/>
    </sheetView>
  </sheetViews>
  <sheetFormatPr baseColWidth="10" defaultRowHeight="15" x14ac:dyDescent="0.25"/>
  <cols>
    <col min="1" max="1" width="13" style="32" bestFit="1" customWidth="1"/>
    <col min="2" max="2" width="35.85546875" style="32" customWidth="1"/>
    <col min="3" max="3" width="9.140625" style="32" bestFit="1" customWidth="1"/>
    <col min="4" max="4" width="7.85546875" style="32" bestFit="1" customWidth="1"/>
    <col min="5" max="5" width="7.85546875" style="68" bestFit="1" customWidth="1"/>
    <col min="6" max="16384" width="11.42578125" style="32"/>
  </cols>
  <sheetData>
    <row r="2" spans="1:5" x14ac:dyDescent="0.25">
      <c r="A2" s="41" t="str">
        <f>'Compromisos RCAs'!$B$8</f>
        <v xml:space="preserve">Componente </v>
      </c>
      <c r="B2" s="41"/>
      <c r="C2" s="41" t="s">
        <v>460</v>
      </c>
      <c r="D2" s="41" t="s">
        <v>270</v>
      </c>
      <c r="E2" s="67" t="s">
        <v>341</v>
      </c>
    </row>
    <row r="3" spans="1:5" x14ac:dyDescent="0.25">
      <c r="A3" s="31" t="s">
        <v>347</v>
      </c>
      <c r="B3" s="30" t="s">
        <v>355</v>
      </c>
      <c r="C3" s="41">
        <f>'Compromisos RCAs'!H14</f>
        <v>12</v>
      </c>
      <c r="D3" s="41">
        <f>'Compromisos RCAs'!I14</f>
        <v>8</v>
      </c>
      <c r="E3" s="67">
        <f>D3/C3</f>
        <v>0.66666666666666663</v>
      </c>
    </row>
    <row r="4" spans="1:5" x14ac:dyDescent="0.25">
      <c r="A4" s="31" t="s">
        <v>348</v>
      </c>
      <c r="B4" s="30" t="s">
        <v>98</v>
      </c>
      <c r="C4" s="41">
        <f>'Compromisos RCAs'!H16</f>
        <v>12</v>
      </c>
      <c r="D4" s="41">
        <f>'Compromisos RCAs'!I16</f>
        <v>11</v>
      </c>
      <c r="E4" s="67">
        <f t="shared" ref="E4:E11" si="0">D4/C4</f>
        <v>0.91666666666666663</v>
      </c>
    </row>
    <row r="5" spans="1:5" x14ac:dyDescent="0.25">
      <c r="A5" s="31" t="s">
        <v>349</v>
      </c>
      <c r="B5" s="30" t="s">
        <v>310</v>
      </c>
      <c r="C5" s="41">
        <f>'Compromisos RCAs'!H17</f>
        <v>12</v>
      </c>
      <c r="D5" s="41">
        <f>'Compromisos RCAs'!I17</f>
        <v>7</v>
      </c>
      <c r="E5" s="67">
        <f t="shared" si="0"/>
        <v>0.58333333333333337</v>
      </c>
    </row>
    <row r="6" spans="1:5" x14ac:dyDescent="0.25">
      <c r="A6" s="31" t="s">
        <v>350</v>
      </c>
      <c r="B6" s="30" t="s">
        <v>115</v>
      </c>
      <c r="C6" s="41">
        <f>'Compromisos RCAs'!H19</f>
        <v>12</v>
      </c>
      <c r="D6" s="41">
        <f>'Compromisos RCAs'!I19</f>
        <v>11</v>
      </c>
      <c r="E6" s="67">
        <f t="shared" si="0"/>
        <v>0.91666666666666663</v>
      </c>
    </row>
    <row r="7" spans="1:5" x14ac:dyDescent="0.25">
      <c r="A7" s="31" t="s">
        <v>351</v>
      </c>
      <c r="B7" s="30" t="s">
        <v>118</v>
      </c>
      <c r="C7" s="41">
        <f>'Compromisos RCAs'!H20</f>
        <v>1</v>
      </c>
      <c r="D7" s="41">
        <f>'Compromisos RCAs'!I20</f>
        <v>1</v>
      </c>
      <c r="E7" s="67">
        <f t="shared" si="0"/>
        <v>1</v>
      </c>
    </row>
    <row r="8" spans="1:5" ht="33.75" x14ac:dyDescent="0.25">
      <c r="A8" s="31" t="s">
        <v>352</v>
      </c>
      <c r="B8" s="31" t="s">
        <v>117</v>
      </c>
      <c r="C8" s="41">
        <f>'Compromisos RCAs'!H21</f>
        <v>1</v>
      </c>
      <c r="D8" s="41">
        <f>'Compromisos RCAs'!I21</f>
        <v>1</v>
      </c>
      <c r="E8" s="67">
        <f t="shared" si="0"/>
        <v>1</v>
      </c>
    </row>
    <row r="9" spans="1:5" x14ac:dyDescent="0.25">
      <c r="A9" s="31" t="s">
        <v>353</v>
      </c>
      <c r="B9" s="31" t="s">
        <v>15</v>
      </c>
      <c r="C9" s="41">
        <f>'Compromisos RCAs'!H38</f>
        <v>48</v>
      </c>
      <c r="D9" s="41">
        <f>'Compromisos RCAs'!I38</f>
        <v>1</v>
      </c>
      <c r="E9" s="67">
        <f t="shared" si="0"/>
        <v>2.0833333333333332E-2</v>
      </c>
    </row>
    <row r="10" spans="1:5" x14ac:dyDescent="0.25">
      <c r="A10" s="31" t="s">
        <v>354</v>
      </c>
      <c r="B10" s="30" t="s">
        <v>326</v>
      </c>
      <c r="C10" s="41">
        <f>'Compromisos RCAs'!H39</f>
        <v>48</v>
      </c>
      <c r="D10" s="41">
        <f>'Compromisos RCAs'!I39</f>
        <v>1</v>
      </c>
      <c r="E10" s="67">
        <f t="shared" si="0"/>
        <v>2.0833333333333332E-2</v>
      </c>
    </row>
    <row r="11" spans="1:5" x14ac:dyDescent="0.25">
      <c r="A11" s="31" t="s">
        <v>367</v>
      </c>
      <c r="B11" s="31" t="s">
        <v>19</v>
      </c>
      <c r="C11" s="41">
        <f>'Compromisos RCAs'!H40</f>
        <v>1</v>
      </c>
      <c r="D11" s="41">
        <v>1</v>
      </c>
      <c r="E11" s="67">
        <f t="shared" si="0"/>
        <v>1</v>
      </c>
    </row>
  </sheetData>
  <phoneticPr fontId="1" type="noConversion"/>
  <pageMargins left="0.7" right="0.7" top="0.75" bottom="0.75" header="0.3" footer="0.3"/>
  <pageSetup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3548B-336B-4FAD-91CD-4E24EB07F11C}">
  <dimension ref="A3:E10"/>
  <sheetViews>
    <sheetView workbookViewId="0">
      <selection activeCell="D10" sqref="D10"/>
    </sheetView>
  </sheetViews>
  <sheetFormatPr baseColWidth="10" defaultColWidth="39.28515625" defaultRowHeight="15" x14ac:dyDescent="0.25"/>
  <cols>
    <col min="1" max="1" width="13" style="42" bestFit="1" customWidth="1"/>
    <col min="2" max="2" width="38" style="43" bestFit="1" customWidth="1"/>
    <col min="3" max="3" width="9.28515625" style="42" bestFit="1" customWidth="1"/>
    <col min="4" max="4" width="9.85546875" style="42" bestFit="1" customWidth="1"/>
    <col min="5" max="5" width="7" style="42" bestFit="1" customWidth="1"/>
    <col min="6" max="16384" width="39.28515625" style="42"/>
  </cols>
  <sheetData>
    <row r="3" spans="1:5" x14ac:dyDescent="0.25">
      <c r="A3" s="29" t="str">
        <f>'Compromisos RCAs'!$B$8</f>
        <v xml:space="preserve">Componente </v>
      </c>
      <c r="B3" s="29"/>
      <c r="C3" s="29" t="s">
        <v>460</v>
      </c>
      <c r="D3" s="29" t="s">
        <v>270</v>
      </c>
      <c r="E3" s="29" t="s">
        <v>341</v>
      </c>
    </row>
    <row r="4" spans="1:5" ht="23.25" x14ac:dyDescent="0.25">
      <c r="A4" s="29" t="s">
        <v>345</v>
      </c>
      <c r="B4" s="44" t="str">
        <f>'Compromisos RCAs'!F12</f>
        <v>Registros de comunicación con autoridades correspondientes</v>
      </c>
      <c r="C4" s="29">
        <f>'Compromisos RCAs'!H12</f>
        <v>5</v>
      </c>
      <c r="D4" s="29">
        <f>'Compromisos RCAs'!I12</f>
        <v>2</v>
      </c>
      <c r="E4" s="49">
        <f>D4/C4</f>
        <v>0.4</v>
      </c>
    </row>
    <row r="5" spans="1:5" x14ac:dyDescent="0.25">
      <c r="A5" s="29" t="s">
        <v>346</v>
      </c>
      <c r="B5" s="44" t="str">
        <f>'Compromisos RCAs'!F13</f>
        <v>Registros de inspección técnica de tronaduras</v>
      </c>
      <c r="C5" s="29">
        <f>'Compromisos RCAs'!H13</f>
        <v>5</v>
      </c>
      <c r="D5" s="29">
        <f>'Compromisos RCAs'!I13</f>
        <v>3</v>
      </c>
      <c r="E5" s="49">
        <f t="shared" ref="E5:E10" si="0">D5/C5</f>
        <v>0.6</v>
      </c>
    </row>
    <row r="6" spans="1:5" ht="23.25" x14ac:dyDescent="0.25">
      <c r="A6" s="29" t="s">
        <v>361</v>
      </c>
      <c r="B6" s="45" t="s">
        <v>321</v>
      </c>
      <c r="C6" s="29">
        <f>'Compromisos RCAs'!H28</f>
        <v>5</v>
      </c>
      <c r="D6" s="29">
        <f>'Compromisos RCAs'!I28</f>
        <v>5</v>
      </c>
      <c r="E6" s="49">
        <f t="shared" si="0"/>
        <v>1</v>
      </c>
    </row>
    <row r="7" spans="1:5" ht="34.5" x14ac:dyDescent="0.25">
      <c r="A7" s="29" t="s">
        <v>396</v>
      </c>
      <c r="B7" s="45" t="s">
        <v>82</v>
      </c>
      <c r="C7" s="29">
        <f>'Compromisos RCAs'!H83</f>
        <v>1</v>
      </c>
      <c r="D7" s="29">
        <v>1</v>
      </c>
      <c r="E7" s="49">
        <f t="shared" si="0"/>
        <v>1</v>
      </c>
    </row>
    <row r="8" spans="1:5" ht="23.25" x14ac:dyDescent="0.25">
      <c r="A8" s="29" t="s">
        <v>397</v>
      </c>
      <c r="B8" s="45" t="s">
        <v>84</v>
      </c>
      <c r="C8" s="29">
        <f>'Compromisos RCAs'!H84</f>
        <v>1</v>
      </c>
      <c r="D8" s="29">
        <v>1</v>
      </c>
      <c r="E8" s="49">
        <f t="shared" si="0"/>
        <v>1</v>
      </c>
    </row>
    <row r="9" spans="1:5" ht="23.25" x14ac:dyDescent="0.25">
      <c r="A9" s="29" t="s">
        <v>398</v>
      </c>
      <c r="B9" s="45" t="s">
        <v>89</v>
      </c>
      <c r="C9" s="29">
        <f>'Compromisos RCAs'!H85</f>
        <v>1</v>
      </c>
      <c r="D9" s="29">
        <v>1</v>
      </c>
      <c r="E9" s="49">
        <f t="shared" si="0"/>
        <v>1</v>
      </c>
    </row>
    <row r="10" spans="1:5" ht="23.25" x14ac:dyDescent="0.25">
      <c r="A10" s="29" t="s">
        <v>399</v>
      </c>
      <c r="B10" s="45" t="s">
        <v>84</v>
      </c>
      <c r="C10" s="29">
        <f>'Compromisos RCAs'!H86</f>
        <v>1</v>
      </c>
      <c r="D10" s="29">
        <v>1</v>
      </c>
      <c r="E10" s="49">
        <f t="shared" si="0"/>
        <v>1</v>
      </c>
    </row>
  </sheetData>
  <phoneticPr fontId="1" type="noConversion"/>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A60D1-B443-4AF6-B61C-A66734F0C421}">
  <dimension ref="A2:E10"/>
  <sheetViews>
    <sheetView workbookViewId="0">
      <selection activeCell="D4" sqref="D4"/>
    </sheetView>
  </sheetViews>
  <sheetFormatPr baseColWidth="10" defaultRowHeight="15" x14ac:dyDescent="0.25"/>
  <cols>
    <col min="1" max="1" width="13" style="32" bestFit="1" customWidth="1"/>
    <col min="2" max="2" width="42.7109375" style="32" customWidth="1"/>
    <col min="3" max="3" width="11.42578125" style="32"/>
    <col min="4" max="4" width="9.85546875" style="32" bestFit="1" customWidth="1"/>
    <col min="5" max="5" width="9" style="32" bestFit="1" customWidth="1"/>
    <col min="6" max="16384" width="11.42578125" style="32"/>
  </cols>
  <sheetData>
    <row r="2" spans="1:5" x14ac:dyDescent="0.25">
      <c r="A2" s="25" t="str">
        <f>'Compromisos RCAs'!$B$8</f>
        <v xml:space="preserve">Componente </v>
      </c>
      <c r="B2" s="25"/>
      <c r="C2" s="25" t="str">
        <f>'Compromisos RCAs'!H8</f>
        <v>Entregables</v>
      </c>
      <c r="D2" s="25" t="str">
        <f>'Compromisos RCAs'!I8</f>
        <v>Resultado</v>
      </c>
      <c r="E2" s="25" t="s">
        <v>341</v>
      </c>
    </row>
    <row r="3" spans="1:5" x14ac:dyDescent="0.25">
      <c r="A3" s="25" t="s">
        <v>342</v>
      </c>
      <c r="B3" s="30" t="s">
        <v>2</v>
      </c>
      <c r="C3" s="25">
        <f>'Compromisos RCAs'!H9</f>
        <v>1</v>
      </c>
      <c r="D3" s="25">
        <v>0</v>
      </c>
      <c r="E3" s="46">
        <f>D3/C3</f>
        <v>0</v>
      </c>
    </row>
    <row r="4" spans="1:5" ht="45" x14ac:dyDescent="0.25">
      <c r="A4" s="25" t="s">
        <v>343</v>
      </c>
      <c r="B4" s="31" t="s">
        <v>91</v>
      </c>
      <c r="C4" s="25">
        <f>'Compromisos RCAs'!H10</f>
        <v>3</v>
      </c>
      <c r="D4" s="25">
        <v>0</v>
      </c>
      <c r="E4" s="46">
        <f t="shared" ref="E4:E10" si="0">D4/C4</f>
        <v>0</v>
      </c>
    </row>
    <row r="5" spans="1:5" ht="36.75" customHeight="1" x14ac:dyDescent="0.25">
      <c r="A5" s="25" t="s">
        <v>344</v>
      </c>
      <c r="B5" s="31" t="s">
        <v>235</v>
      </c>
      <c r="C5" s="25">
        <f>'Compromisos RCAs'!H11</f>
        <v>3</v>
      </c>
      <c r="D5" s="25">
        <v>0</v>
      </c>
      <c r="E5" s="46">
        <f t="shared" si="0"/>
        <v>0</v>
      </c>
    </row>
    <row r="6" spans="1:5" x14ac:dyDescent="0.25">
      <c r="A6" s="25" t="s">
        <v>356</v>
      </c>
      <c r="B6" s="30" t="s">
        <v>5</v>
      </c>
      <c r="C6" s="25">
        <f>'Compromisos RCAs'!H18</f>
        <v>48</v>
      </c>
      <c r="D6" s="25">
        <f>'Compromisos RCAs'!I18</f>
        <v>29</v>
      </c>
      <c r="E6" s="46">
        <f t="shared" si="0"/>
        <v>0.60416666666666663</v>
      </c>
    </row>
    <row r="7" spans="1:5" x14ac:dyDescent="0.25">
      <c r="A7" s="25" t="s">
        <v>385</v>
      </c>
      <c r="B7" s="31" t="s">
        <v>55</v>
      </c>
      <c r="C7" s="25">
        <f>'Compromisos RCAs'!H71</f>
        <v>2</v>
      </c>
      <c r="D7" s="25">
        <f>'Compromisos RCAs'!I71</f>
        <v>2</v>
      </c>
      <c r="E7" s="46">
        <f t="shared" si="0"/>
        <v>1</v>
      </c>
    </row>
    <row r="8" spans="1:5" x14ac:dyDescent="0.25">
      <c r="A8" s="25" t="s">
        <v>386</v>
      </c>
      <c r="B8" s="31" t="s">
        <v>58</v>
      </c>
      <c r="C8" s="25">
        <f>'Compromisos RCAs'!H72</f>
        <v>1</v>
      </c>
      <c r="D8" s="25">
        <v>1</v>
      </c>
      <c r="E8" s="46">
        <f t="shared" si="0"/>
        <v>1</v>
      </c>
    </row>
    <row r="9" spans="1:5" x14ac:dyDescent="0.25">
      <c r="A9" s="25" t="s">
        <v>450</v>
      </c>
      <c r="B9" s="31" t="s">
        <v>177</v>
      </c>
      <c r="C9" s="25">
        <f>'Compromisos RCAs'!H87</f>
        <v>12</v>
      </c>
      <c r="D9" s="25">
        <v>7</v>
      </c>
      <c r="E9" s="46">
        <f t="shared" si="0"/>
        <v>0.58333333333333337</v>
      </c>
    </row>
    <row r="10" spans="1:5" ht="22.5" x14ac:dyDescent="0.25">
      <c r="A10" s="25" t="s">
        <v>451</v>
      </c>
      <c r="B10" s="31" t="s">
        <v>204</v>
      </c>
      <c r="C10" s="25">
        <f>'Compromisos RCAs'!H99</f>
        <v>12</v>
      </c>
      <c r="D10" s="25">
        <v>8</v>
      </c>
      <c r="E10" s="46">
        <f t="shared" si="0"/>
        <v>0.66666666666666663</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Compromisos RCAs</vt:lpstr>
      <vt:lpstr>GEN</vt:lpstr>
      <vt:lpstr>MEDHU</vt:lpstr>
      <vt:lpstr>ARQ</vt:lpstr>
      <vt:lpstr>SUSPEL</vt:lpstr>
      <vt:lpstr>Medio Marino</vt:lpstr>
      <vt:lpstr>RESLIQ</vt:lpstr>
      <vt:lpstr>RYB</vt:lpstr>
      <vt:lpstr>RESOL</vt:lpstr>
      <vt:lpstr>Aguas </vt:lpstr>
      <vt:lpstr>Aire</vt:lpstr>
      <vt:lpstr>Fauna</vt:lpstr>
      <vt:lpstr>Obras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ordenes</dc:creator>
  <cp:lastModifiedBy>Dangelo</cp:lastModifiedBy>
  <dcterms:created xsi:type="dcterms:W3CDTF">2022-04-14T14:10:18Z</dcterms:created>
  <dcterms:modified xsi:type="dcterms:W3CDTF">2026-03-23T06:09:50Z</dcterms:modified>
</cp:coreProperties>
</file>